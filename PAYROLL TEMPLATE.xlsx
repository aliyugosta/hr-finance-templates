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ji Adeshile\Desktop\New folder (2)\Illumigyn\"/>
    </mc:Choice>
  </mc:AlternateContent>
  <xr:revisionPtr revIDLastSave="0" documentId="13_ncr:1_{5DB34032-C6DE-43C9-9BF3-CFB5503648A9}" xr6:coauthVersionLast="47" xr6:coauthVersionMax="47" xr10:uidLastSave="{00000000-0000-0000-0000-000000000000}"/>
  <bookViews>
    <workbookView xWindow="-110" yWindow="-110" windowWidth="19420" windowHeight="10300" tabRatio="1000" activeTab="2" xr2:uid="{00000000-000D-0000-FFFF-FFFF00000000}"/>
  </bookViews>
  <sheets>
    <sheet name="1_Payslip_120k net" sheetId="25" r:id="rId1"/>
    <sheet name="2_Payslip_150k net" sheetId="26" r:id="rId2"/>
    <sheet name="3_Payslip_200k net" sheetId="27" r:id="rId3"/>
    <sheet name="Payroll_Raw" sheetId="23" r:id="rId4"/>
    <sheet name="PAYE" sheetId="21" r:id="rId5"/>
    <sheet name="Tax Table - DONT ALTER" sheetId="6" r:id="rId6"/>
    <sheet name="5_Payslip" sheetId="29" r:id="rId7"/>
    <sheet name="6_Payslip" sheetId="30" r:id="rId8"/>
    <sheet name="7_Payslip" sheetId="31" r:id="rId9"/>
    <sheet name="8_Payslip" sheetId="32" r:id="rId10"/>
    <sheet name="9_Payslip" sheetId="33" r:id="rId11"/>
    <sheet name="10_Payslip" sheetId="34" r:id="rId12"/>
  </sheets>
  <calcPr calcId="191029"/>
  <customWorkbookViews>
    <customWorkbookView name="Dee - Personal View" guid="{7A5DC171-5B8D-4A9C-9792-47AC0B531261}" mergeInterval="0" personalView="1" maximized="1" xWindow="1" yWindow="1" windowWidth="1362" windowHeight="538" activeSheetId="2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9" i="21" l="1"/>
  <c r="J9" i="21"/>
  <c r="H9" i="21"/>
  <c r="G9" i="21"/>
  <c r="Y10" i="21"/>
  <c r="AB10" i="21" s="1"/>
  <c r="AF10" i="21"/>
  <c r="G10" i="21"/>
  <c r="F10" i="21"/>
  <c r="I7" i="23" l="1"/>
  <c r="AF9" i="21" s="1"/>
  <c r="AG9" i="21" s="1"/>
  <c r="R7" i="23"/>
  <c r="F9" i="21" s="1"/>
  <c r="F5" i="21" s="1"/>
  <c r="C15" i="26"/>
  <c r="R8" i="23"/>
  <c r="R9" i="23"/>
  <c r="R10" i="23"/>
  <c r="S7" i="23" l="1"/>
  <c r="C14" i="25" s="1"/>
  <c r="C16" i="25"/>
  <c r="AF12" i="21"/>
  <c r="C17" i="27"/>
  <c r="C16" i="27"/>
  <c r="C15" i="27"/>
  <c r="C17" i="26"/>
  <c r="C16" i="26"/>
  <c r="C17" i="25"/>
  <c r="C15" i="25"/>
  <c r="AF11" i="21" l="1"/>
  <c r="S8" i="23" l="1"/>
  <c r="F11" i="21"/>
  <c r="S9" i="23"/>
  <c r="F12" i="21"/>
  <c r="S10" i="23"/>
  <c r="G12" i="21" s="1"/>
  <c r="C14" i="26" l="1"/>
  <c r="G11" i="21"/>
  <c r="C14" i="27"/>
  <c r="C22" i="27" s="1"/>
  <c r="D22" i="27" s="1"/>
  <c r="D6" i="27"/>
  <c r="D5" i="27"/>
  <c r="D4" i="27"/>
  <c r="D3" i="27"/>
  <c r="C35" i="34"/>
  <c r="D35" i="34" s="1"/>
  <c r="D28" i="34"/>
  <c r="C28" i="34"/>
  <c r="C22" i="34"/>
  <c r="D22" i="34" s="1"/>
  <c r="D38" i="34" s="1"/>
  <c r="C35" i="33"/>
  <c r="D35" i="33" s="1"/>
  <c r="D28" i="33"/>
  <c r="C28" i="33"/>
  <c r="C22" i="33"/>
  <c r="D22" i="33" s="1"/>
  <c r="D35" i="32"/>
  <c r="C35" i="32"/>
  <c r="D28" i="32"/>
  <c r="C28" i="32"/>
  <c r="C22" i="32"/>
  <c r="D22" i="32" s="1"/>
  <c r="C35" i="31"/>
  <c r="D35" i="31" s="1"/>
  <c r="D28" i="31"/>
  <c r="C28" i="31"/>
  <c r="C22" i="31"/>
  <c r="D22" i="31" s="1"/>
  <c r="C35" i="30"/>
  <c r="D35" i="30" s="1"/>
  <c r="C28" i="30"/>
  <c r="D28" i="30" s="1"/>
  <c r="C22" i="30"/>
  <c r="D22" i="30" s="1"/>
  <c r="C35" i="29"/>
  <c r="D35" i="29" s="1"/>
  <c r="C28" i="29"/>
  <c r="D28" i="29" s="1"/>
  <c r="C22" i="29"/>
  <c r="D22" i="29" s="1"/>
  <c r="D28" i="27"/>
  <c r="C28" i="27"/>
  <c r="D6" i="26"/>
  <c r="D5" i="26"/>
  <c r="D4" i="26"/>
  <c r="D5" i="25"/>
  <c r="D6" i="25"/>
  <c r="D4" i="25"/>
  <c r="AH35" i="21"/>
  <c r="AH36" i="21"/>
  <c r="AH37" i="21"/>
  <c r="D38" i="33" l="1"/>
  <c r="D38" i="32"/>
  <c r="D38" i="29"/>
  <c r="D38" i="31"/>
  <c r="D38" i="30"/>
  <c r="G37" i="21"/>
  <c r="H37" i="21" s="1"/>
  <c r="I37" i="21" s="1"/>
  <c r="E37" i="21"/>
  <c r="D37" i="21"/>
  <c r="G36" i="21"/>
  <c r="H36" i="21" s="1"/>
  <c r="I36" i="21" s="1"/>
  <c r="E36" i="21"/>
  <c r="D36" i="21"/>
  <c r="G35" i="21"/>
  <c r="H35" i="21" s="1"/>
  <c r="I35" i="21" s="1"/>
  <c r="E35" i="21"/>
  <c r="D35" i="21"/>
  <c r="G34" i="21"/>
  <c r="H34" i="21" s="1"/>
  <c r="I34" i="21" s="1"/>
  <c r="E34" i="21"/>
  <c r="D34" i="21"/>
  <c r="G33" i="21"/>
  <c r="H33" i="21" s="1"/>
  <c r="I33" i="21" s="1"/>
  <c r="E33" i="21"/>
  <c r="D33" i="21"/>
  <c r="G32" i="21"/>
  <c r="H32" i="21" s="1"/>
  <c r="I32" i="21" s="1"/>
  <c r="E32" i="21"/>
  <c r="D32" i="21"/>
  <c r="G31" i="21"/>
  <c r="H31" i="21" s="1"/>
  <c r="I31" i="21" s="1"/>
  <c r="E31" i="21"/>
  <c r="D31" i="21"/>
  <c r="G30" i="21"/>
  <c r="H30" i="21" s="1"/>
  <c r="I30" i="21" s="1"/>
  <c r="E30" i="21"/>
  <c r="D30" i="21"/>
  <c r="G29" i="21"/>
  <c r="H29" i="21" s="1"/>
  <c r="I29" i="21" s="1"/>
  <c r="E29" i="21"/>
  <c r="D29" i="21"/>
  <c r="G28" i="21"/>
  <c r="H28" i="21" s="1"/>
  <c r="I28" i="21" s="1"/>
  <c r="E28" i="21"/>
  <c r="D28" i="21"/>
  <c r="G27" i="21"/>
  <c r="H27" i="21" s="1"/>
  <c r="I27" i="21" s="1"/>
  <c r="E27" i="21"/>
  <c r="D27" i="21"/>
  <c r="E26" i="21"/>
  <c r="D26" i="21"/>
  <c r="E25" i="21"/>
  <c r="D25" i="21"/>
  <c r="E24" i="21"/>
  <c r="D24" i="21"/>
  <c r="E23" i="21"/>
  <c r="D23" i="21"/>
  <c r="E22" i="21"/>
  <c r="D22" i="21"/>
  <c r="E21" i="21"/>
  <c r="D21" i="21"/>
  <c r="E20" i="21"/>
  <c r="D20" i="21"/>
  <c r="G16" i="21"/>
  <c r="G17" i="21"/>
  <c r="G18" i="21"/>
  <c r="G26" i="21"/>
  <c r="H26" i="21" s="1"/>
  <c r="I26" i="21" s="1"/>
  <c r="D19" i="21"/>
  <c r="D18" i="21"/>
  <c r="D17" i="21"/>
  <c r="D16" i="21"/>
  <c r="D15" i="21"/>
  <c r="D14" i="21"/>
  <c r="D13" i="21"/>
  <c r="D12" i="21"/>
  <c r="G20" i="21"/>
  <c r="H20" i="21" s="1"/>
  <c r="I20" i="21" s="1"/>
  <c r="G21" i="21"/>
  <c r="H21" i="21" s="1"/>
  <c r="I21" i="21" s="1"/>
  <c r="G22" i="21"/>
  <c r="H22" i="21" s="1"/>
  <c r="I22" i="21" s="1"/>
  <c r="G23" i="21"/>
  <c r="H23" i="21" s="1"/>
  <c r="I23" i="21" s="1"/>
  <c r="G24" i="21"/>
  <c r="H24" i="21" s="1"/>
  <c r="I24" i="21" s="1"/>
  <c r="G25" i="21"/>
  <c r="H25" i="21" s="1"/>
  <c r="I25" i="21" s="1"/>
  <c r="G19" i="21"/>
  <c r="G14" i="21"/>
  <c r="G15" i="21"/>
  <c r="X27" i="21" l="1"/>
  <c r="H17" i="21"/>
  <c r="I17" i="21" s="1"/>
  <c r="H18" i="21"/>
  <c r="I18" i="21" s="1"/>
  <c r="H19" i="21"/>
  <c r="I19" i="21" s="1"/>
  <c r="H15" i="21"/>
  <c r="I15" i="21" s="1"/>
  <c r="H14" i="21"/>
  <c r="I14" i="21" s="1"/>
  <c r="H16" i="21"/>
  <c r="I16" i="21" s="1"/>
  <c r="X24" i="21"/>
  <c r="X25" i="21"/>
  <c r="D11" i="21"/>
  <c r="D10" i="21"/>
  <c r="D9" i="21"/>
  <c r="D3" i="26" l="1"/>
  <c r="D3" i="25" l="1"/>
  <c r="AG37" i="21" l="1"/>
  <c r="AI37" i="21" s="1"/>
  <c r="AE37" i="21"/>
  <c r="AC37" i="21"/>
  <c r="X37" i="21"/>
  <c r="J37" i="21"/>
  <c r="K37" i="21" s="1"/>
  <c r="W37" i="21" s="1"/>
  <c r="AG36" i="21"/>
  <c r="AI36" i="21" s="1"/>
  <c r="AE36" i="21"/>
  <c r="AC36" i="21"/>
  <c r="X36" i="21"/>
  <c r="J36" i="21"/>
  <c r="K36" i="21" s="1"/>
  <c r="W36" i="21" s="1"/>
  <c r="AG35" i="21"/>
  <c r="AI35" i="21" s="1"/>
  <c r="AE35" i="21"/>
  <c r="AC35" i="21"/>
  <c r="X35" i="21"/>
  <c r="J35" i="21"/>
  <c r="K35" i="21" s="1"/>
  <c r="W35" i="21" s="1"/>
  <c r="AF34" i="21"/>
  <c r="AE34" i="21"/>
  <c r="AC34" i="21"/>
  <c r="X34" i="21"/>
  <c r="J34" i="21"/>
  <c r="K34" i="21" s="1"/>
  <c r="W34" i="21" s="1"/>
  <c r="AF33" i="21"/>
  <c r="AG33" i="21" s="1"/>
  <c r="AC33" i="21"/>
  <c r="X33" i="21"/>
  <c r="AF32" i="21"/>
  <c r="AG32" i="21" s="1"/>
  <c r="AC32" i="21"/>
  <c r="X32" i="21"/>
  <c r="AF30" i="21"/>
  <c r="AG30" i="21" s="1"/>
  <c r="X30" i="21"/>
  <c r="J30" i="21"/>
  <c r="K30" i="21" s="1"/>
  <c r="W30" i="21" s="1"/>
  <c r="AD30" i="21"/>
  <c r="AF29" i="21"/>
  <c r="AG29" i="21" s="1"/>
  <c r="X26" i="21"/>
  <c r="AF25" i="21"/>
  <c r="AG25" i="21" s="1"/>
  <c r="AD23" i="21"/>
  <c r="X22" i="21"/>
  <c r="AF21" i="21"/>
  <c r="AG21" i="21" s="1"/>
  <c r="X21" i="21"/>
  <c r="AF20" i="21"/>
  <c r="AG20" i="21" s="1"/>
  <c r="X20" i="21"/>
  <c r="AD19" i="21"/>
  <c r="E19" i="21"/>
  <c r="E18" i="21"/>
  <c r="E17" i="21"/>
  <c r="AD16" i="21"/>
  <c r="E16" i="21"/>
  <c r="AF15" i="21"/>
  <c r="AG15" i="21" s="1"/>
  <c r="E15" i="21"/>
  <c r="X14" i="21"/>
  <c r="E14" i="21"/>
  <c r="E13" i="21"/>
  <c r="E12" i="21"/>
  <c r="E11" i="21"/>
  <c r="V10" i="21"/>
  <c r="V11" i="21" s="1"/>
  <c r="V12" i="21" s="1"/>
  <c r="V13" i="21" s="1"/>
  <c r="V14" i="21" s="1"/>
  <c r="V15" i="21" s="1"/>
  <c r="V16" i="21" s="1"/>
  <c r="V17" i="21" s="1"/>
  <c r="V18" i="21" s="1"/>
  <c r="V19" i="21" s="1"/>
  <c r="V20" i="21" s="1"/>
  <c r="V21" i="21" s="1"/>
  <c r="V22" i="21" s="1"/>
  <c r="T10" i="21"/>
  <c r="T11" i="21" s="1"/>
  <c r="T12" i="21" s="1"/>
  <c r="T13" i="21" s="1"/>
  <c r="T14" i="21" s="1"/>
  <c r="T15" i="21" s="1"/>
  <c r="T16" i="21" s="1"/>
  <c r="T17" i="21" s="1"/>
  <c r="T18" i="21" s="1"/>
  <c r="T19" i="21" s="1"/>
  <c r="T20" i="21" s="1"/>
  <c r="T21" i="21" s="1"/>
  <c r="T22" i="21" s="1"/>
  <c r="R10" i="21"/>
  <c r="R11" i="21" s="1"/>
  <c r="R12" i="21" s="1"/>
  <c r="R13" i="21" s="1"/>
  <c r="R14" i="21" s="1"/>
  <c r="R15" i="21" s="1"/>
  <c r="R16" i="21" s="1"/>
  <c r="R17" i="21" s="1"/>
  <c r="R18" i="21" s="1"/>
  <c r="R19" i="21" s="1"/>
  <c r="R20" i="21" s="1"/>
  <c r="R21" i="21" s="1"/>
  <c r="R22" i="21" s="1"/>
  <c r="P10" i="21"/>
  <c r="P11" i="21" s="1"/>
  <c r="P12" i="21" s="1"/>
  <c r="P13" i="21" s="1"/>
  <c r="P14" i="21" s="1"/>
  <c r="P15" i="21" s="1"/>
  <c r="P16" i="21" s="1"/>
  <c r="P17" i="21" s="1"/>
  <c r="P18" i="21" s="1"/>
  <c r="P19" i="21" s="1"/>
  <c r="P20" i="21" s="1"/>
  <c r="P21" i="21" s="1"/>
  <c r="P22" i="21" s="1"/>
  <c r="N10" i="21"/>
  <c r="N11" i="21" s="1"/>
  <c r="N12" i="21" s="1"/>
  <c r="N13" i="21" s="1"/>
  <c r="N14" i="21" s="1"/>
  <c r="N15" i="21" s="1"/>
  <c r="N16" i="21" s="1"/>
  <c r="N17" i="21" s="1"/>
  <c r="N18" i="21" s="1"/>
  <c r="N19" i="21" s="1"/>
  <c r="N20" i="21" s="1"/>
  <c r="N21" i="21" s="1"/>
  <c r="N22" i="21" s="1"/>
  <c r="L10" i="21"/>
  <c r="L11" i="21" s="1"/>
  <c r="L12" i="21" s="1"/>
  <c r="L13" i="21" s="1"/>
  <c r="L14" i="21" s="1"/>
  <c r="L15" i="21" s="1"/>
  <c r="L16" i="21" s="1"/>
  <c r="L17" i="21" s="1"/>
  <c r="L18" i="21" s="1"/>
  <c r="L19" i="21" s="1"/>
  <c r="L20" i="21" s="1"/>
  <c r="L21" i="21" s="1"/>
  <c r="L22" i="21" s="1"/>
  <c r="E10" i="21"/>
  <c r="B10" i="21"/>
  <c r="B11" i="21" s="1"/>
  <c r="B12" i="21" s="1"/>
  <c r="B13" i="21" s="1"/>
  <c r="B14" i="21" s="1"/>
  <c r="B15" i="21" s="1"/>
  <c r="B16" i="21" s="1"/>
  <c r="B17" i="21" s="1"/>
  <c r="B18" i="21" s="1"/>
  <c r="B19" i="21" s="1"/>
  <c r="B20" i="21" s="1"/>
  <c r="B21" i="21" s="1"/>
  <c r="B22" i="21" s="1"/>
  <c r="B23" i="21" s="1"/>
  <c r="B24" i="21" s="1"/>
  <c r="B25" i="21" s="1"/>
  <c r="B26" i="21" s="1"/>
  <c r="B27" i="21" s="1"/>
  <c r="B28" i="21" s="1"/>
  <c r="B29" i="21" s="1"/>
  <c r="B30" i="21" s="1"/>
  <c r="B31" i="21" s="1"/>
  <c r="B32" i="21" s="1"/>
  <c r="B33" i="21" s="1"/>
  <c r="B34" i="21" s="1"/>
  <c r="B35" i="21" s="1"/>
  <c r="B36" i="21" s="1"/>
  <c r="B37" i="21" s="1"/>
  <c r="E9" i="21"/>
  <c r="AE16" i="21" l="1"/>
  <c r="AE30" i="21"/>
  <c r="AI30" i="21" s="1"/>
  <c r="AH30" i="21"/>
  <c r="AE19" i="21"/>
  <c r="AG34" i="21"/>
  <c r="AI34" i="21" s="1"/>
  <c r="AH34" i="21"/>
  <c r="AE23" i="21"/>
  <c r="J19" i="21"/>
  <c r="K19" i="21" s="1"/>
  <c r="W19" i="21" s="1"/>
  <c r="AF19" i="21"/>
  <c r="AG19" i="21" s="1"/>
  <c r="AD15" i="21"/>
  <c r="AF14" i="21"/>
  <c r="AG14" i="21" s="1"/>
  <c r="X19" i="21"/>
  <c r="J22" i="21"/>
  <c r="K22" i="21" s="1"/>
  <c r="W22" i="21" s="1"/>
  <c r="AF22" i="21"/>
  <c r="AG22" i="21" s="1"/>
  <c r="AD25" i="21"/>
  <c r="X16" i="21"/>
  <c r="AD22" i="21"/>
  <c r="AF26" i="21"/>
  <c r="AG26" i="21" s="1"/>
  <c r="AD29" i="21"/>
  <c r="J14" i="21"/>
  <c r="K14" i="21" s="1"/>
  <c r="W14" i="21" s="1"/>
  <c r="J16" i="21"/>
  <c r="K16" i="21" s="1"/>
  <c r="W16" i="21" s="1"/>
  <c r="AF16" i="21"/>
  <c r="AG16" i="21" s="1"/>
  <c r="AD26" i="21"/>
  <c r="X29" i="21"/>
  <c r="L23" i="21"/>
  <c r="L24" i="21"/>
  <c r="L25" i="21" s="1"/>
  <c r="L26" i="21" s="1"/>
  <c r="L27" i="21" s="1"/>
  <c r="L28" i="21" s="1"/>
  <c r="L29" i="21" s="1"/>
  <c r="L30" i="21" s="1"/>
  <c r="L31" i="21" s="1"/>
  <c r="L32" i="21" s="1"/>
  <c r="L33" i="21" s="1"/>
  <c r="L34" i="21" s="1"/>
  <c r="L35" i="21" s="1"/>
  <c r="L36" i="21" s="1"/>
  <c r="L37" i="21" s="1"/>
  <c r="M37" i="21" s="1"/>
  <c r="V24" i="21"/>
  <c r="V25" i="21" s="1"/>
  <c r="V26" i="21" s="1"/>
  <c r="V27" i="21" s="1"/>
  <c r="V28" i="21" s="1"/>
  <c r="V29" i="21" s="1"/>
  <c r="V30" i="21" s="1"/>
  <c r="V31" i="21" s="1"/>
  <c r="V32" i="21" s="1"/>
  <c r="V33" i="21" s="1"/>
  <c r="V34" i="21" s="1"/>
  <c r="V35" i="21" s="1"/>
  <c r="V36" i="21" s="1"/>
  <c r="V37" i="21" s="1"/>
  <c r="V23" i="21"/>
  <c r="P23" i="21"/>
  <c r="P24" i="21"/>
  <c r="P25" i="21" s="1"/>
  <c r="P26" i="21" s="1"/>
  <c r="P27" i="21" s="1"/>
  <c r="P28" i="21" s="1"/>
  <c r="P29" i="21" s="1"/>
  <c r="P30" i="21" s="1"/>
  <c r="P31" i="21" s="1"/>
  <c r="P32" i="21" s="1"/>
  <c r="P33" i="21" s="1"/>
  <c r="P34" i="21" s="1"/>
  <c r="P35" i="21" s="1"/>
  <c r="P36" i="21" s="1"/>
  <c r="P37" i="21" s="1"/>
  <c r="Q37" i="21" s="1"/>
  <c r="T23" i="21"/>
  <c r="T24" i="21"/>
  <c r="T25" i="21" s="1"/>
  <c r="T26" i="21" s="1"/>
  <c r="T27" i="21" s="1"/>
  <c r="T28" i="21" s="1"/>
  <c r="T29" i="21" s="1"/>
  <c r="T30" i="21" s="1"/>
  <c r="T31" i="21" s="1"/>
  <c r="T32" i="21" s="1"/>
  <c r="T33" i="21" s="1"/>
  <c r="T34" i="21" s="1"/>
  <c r="T35" i="21" s="1"/>
  <c r="T36" i="21" s="1"/>
  <c r="T37" i="21" s="1"/>
  <c r="U37" i="21" s="1"/>
  <c r="R23" i="21"/>
  <c r="R24" i="21"/>
  <c r="R25" i="21" s="1"/>
  <c r="R26" i="21" s="1"/>
  <c r="R27" i="21" s="1"/>
  <c r="R28" i="21" s="1"/>
  <c r="R29" i="21" s="1"/>
  <c r="R30" i="21" s="1"/>
  <c r="R31" i="21" s="1"/>
  <c r="R32" i="21" s="1"/>
  <c r="R33" i="21" s="1"/>
  <c r="R34" i="21" s="1"/>
  <c r="R35" i="21" s="1"/>
  <c r="R36" i="21" s="1"/>
  <c r="R37" i="21" s="1"/>
  <c r="S37" i="21" s="1"/>
  <c r="J32" i="21"/>
  <c r="K32" i="21" s="1"/>
  <c r="W32" i="21" s="1"/>
  <c r="N24" i="21"/>
  <c r="N25" i="21" s="1"/>
  <c r="N26" i="21" s="1"/>
  <c r="N27" i="21" s="1"/>
  <c r="N28" i="21" s="1"/>
  <c r="N29" i="21" s="1"/>
  <c r="N30" i="21" s="1"/>
  <c r="N31" i="21" s="1"/>
  <c r="N32" i="21" s="1"/>
  <c r="N33" i="21" s="1"/>
  <c r="N34" i="21" s="1"/>
  <c r="N35" i="21" s="1"/>
  <c r="N36" i="21" s="1"/>
  <c r="N37" i="21" s="1"/>
  <c r="N23" i="21"/>
  <c r="AD17" i="21"/>
  <c r="AF17" i="21"/>
  <c r="AG17" i="21" s="1"/>
  <c r="X17" i="21"/>
  <c r="J17" i="21"/>
  <c r="K17" i="21" s="1"/>
  <c r="W17" i="21" s="1"/>
  <c r="AD32" i="21"/>
  <c r="AD20" i="21"/>
  <c r="J20" i="21"/>
  <c r="K20" i="21" s="1"/>
  <c r="W20" i="21" s="1"/>
  <c r="AD21" i="21"/>
  <c r="J21" i="21"/>
  <c r="K21" i="21" s="1"/>
  <c r="W21" i="21" s="1"/>
  <c r="J26" i="21"/>
  <c r="K26" i="21" s="1"/>
  <c r="W26" i="21" s="1"/>
  <c r="AF18" i="21"/>
  <c r="AG18" i="21" s="1"/>
  <c r="X18" i="21"/>
  <c r="AD28" i="21"/>
  <c r="AF28" i="21"/>
  <c r="AG28" i="21" s="1"/>
  <c r="X28" i="21"/>
  <c r="J15" i="21"/>
  <c r="K15" i="21" s="1"/>
  <c r="W15" i="21" s="1"/>
  <c r="X15" i="21"/>
  <c r="AD18" i="21"/>
  <c r="AF23" i="21"/>
  <c r="AG23" i="21" s="1"/>
  <c r="X23" i="21"/>
  <c r="J23" i="21"/>
  <c r="K23" i="21" s="1"/>
  <c r="W23" i="21" s="1"/>
  <c r="AF24" i="21"/>
  <c r="AG24" i="21" s="1"/>
  <c r="J33" i="21"/>
  <c r="K33" i="21" s="1"/>
  <c r="W33" i="21" s="1"/>
  <c r="AD31" i="21"/>
  <c r="O36" i="21"/>
  <c r="J25" i="21"/>
  <c r="K25" i="21" s="1"/>
  <c r="W25" i="21" s="1"/>
  <c r="AF27" i="21"/>
  <c r="AG27" i="21" s="1"/>
  <c r="J29" i="21"/>
  <c r="K29" i="21" s="1"/>
  <c r="W29" i="21" s="1"/>
  <c r="J31" i="21"/>
  <c r="K31" i="21" s="1"/>
  <c r="W31" i="21" s="1"/>
  <c r="X31" i="21"/>
  <c r="AF31" i="21"/>
  <c r="AG31" i="21" s="1"/>
  <c r="AD33" i="21"/>
  <c r="O34" i="21"/>
  <c r="O35" i="21"/>
  <c r="O37" i="21"/>
  <c r="AH16" i="21" l="1"/>
  <c r="AI16" i="21"/>
  <c r="AE17" i="21"/>
  <c r="AI17" i="21" s="1"/>
  <c r="AH17" i="21"/>
  <c r="AE18" i="21"/>
  <c r="AI18" i="21" s="1"/>
  <c r="AH18" i="21"/>
  <c r="AH23" i="21"/>
  <c r="AI23" i="21"/>
  <c r="AH19" i="21"/>
  <c r="AI19" i="21"/>
  <c r="AE31" i="21"/>
  <c r="AI31" i="21" s="1"/>
  <c r="AH31" i="21"/>
  <c r="AE21" i="21"/>
  <c r="AI21" i="21" s="1"/>
  <c r="AH21" i="21"/>
  <c r="AE26" i="21"/>
  <c r="AI26" i="21" s="1"/>
  <c r="AH26" i="21"/>
  <c r="AE33" i="21"/>
  <c r="AI33" i="21" s="1"/>
  <c r="AH33" i="21"/>
  <c r="AE20" i="21"/>
  <c r="AI20" i="21" s="1"/>
  <c r="AH20" i="21"/>
  <c r="AE29" i="21"/>
  <c r="AI29" i="21" s="1"/>
  <c r="AH29" i="21"/>
  <c r="AE15" i="21"/>
  <c r="AI15" i="21" s="1"/>
  <c r="AH15" i="21"/>
  <c r="AE22" i="21"/>
  <c r="AI22" i="21" s="1"/>
  <c r="AH22" i="21"/>
  <c r="AE25" i="21"/>
  <c r="AI25" i="21" s="1"/>
  <c r="AH25" i="21"/>
  <c r="AE28" i="21"/>
  <c r="AI28" i="21" s="1"/>
  <c r="AH28" i="21"/>
  <c r="AE32" i="21"/>
  <c r="AI32" i="21" s="1"/>
  <c r="AH32" i="21"/>
  <c r="Q34" i="21"/>
  <c r="M35" i="21"/>
  <c r="M36" i="21"/>
  <c r="M30" i="21"/>
  <c r="M34" i="21"/>
  <c r="S36" i="21"/>
  <c r="S34" i="21"/>
  <c r="S35" i="21"/>
  <c r="Q36" i="21"/>
  <c r="U30" i="21"/>
  <c r="Q35" i="21"/>
  <c r="S30" i="21"/>
  <c r="O30" i="21"/>
  <c r="Q30" i="21"/>
  <c r="J28" i="21"/>
  <c r="K28" i="21" s="1"/>
  <c r="J24" i="21"/>
  <c r="U34" i="21"/>
  <c r="U36" i="21"/>
  <c r="U35" i="21"/>
  <c r="S15" i="21"/>
  <c r="O15" i="21"/>
  <c r="U15" i="21"/>
  <c r="Q15" i="21"/>
  <c r="M15" i="21"/>
  <c r="S29" i="21"/>
  <c r="O29" i="21"/>
  <c r="U29" i="21"/>
  <c r="M29" i="21"/>
  <c r="Q29" i="21"/>
  <c r="O23" i="21"/>
  <c r="U23" i="21"/>
  <c r="M23" i="21"/>
  <c r="S23" i="21"/>
  <c r="Q23" i="21"/>
  <c r="U20" i="21"/>
  <c r="M20" i="21"/>
  <c r="S20" i="21"/>
  <c r="Q20" i="21"/>
  <c r="O20" i="21"/>
  <c r="U16" i="21"/>
  <c r="Q16" i="21"/>
  <c r="M16" i="21"/>
  <c r="S16" i="21"/>
  <c r="O16" i="21"/>
  <c r="S17" i="21"/>
  <c r="O17" i="21"/>
  <c r="U17" i="21"/>
  <c r="M17" i="21"/>
  <c r="Q17" i="21"/>
  <c r="U21" i="21"/>
  <c r="M21" i="21"/>
  <c r="S21" i="21"/>
  <c r="Q21" i="21"/>
  <c r="O21" i="21"/>
  <c r="U31" i="21"/>
  <c r="Q31" i="21"/>
  <c r="M31" i="21"/>
  <c r="O31" i="21"/>
  <c r="S31" i="21"/>
  <c r="S33" i="21"/>
  <c r="O33" i="21"/>
  <c r="U33" i="21"/>
  <c r="M33" i="21"/>
  <c r="Q33" i="21"/>
  <c r="AD27" i="21"/>
  <c r="Y37" i="21"/>
  <c r="Z37" i="21" s="1"/>
  <c r="AA37" i="21" s="1"/>
  <c r="J27" i="21"/>
  <c r="K27" i="21" s="1"/>
  <c r="W27" i="21" s="1"/>
  <c r="S26" i="21"/>
  <c r="O26" i="21"/>
  <c r="U26" i="21"/>
  <c r="M26" i="21"/>
  <c r="Q26" i="21"/>
  <c r="S25" i="21"/>
  <c r="M25" i="21"/>
  <c r="Q25" i="21"/>
  <c r="U25" i="21"/>
  <c r="O25" i="21"/>
  <c r="AD24" i="21"/>
  <c r="J18" i="21"/>
  <c r="K18" i="21" s="1"/>
  <c r="W18" i="21" s="1"/>
  <c r="AD14" i="21"/>
  <c r="U19" i="21"/>
  <c r="Q19" i="21"/>
  <c r="M19" i="21"/>
  <c r="S19" i="21"/>
  <c r="O19" i="21"/>
  <c r="S22" i="21"/>
  <c r="O22" i="21"/>
  <c r="U22" i="21"/>
  <c r="Q22" i="21"/>
  <c r="M22" i="21"/>
  <c r="S32" i="21"/>
  <c r="O32" i="21"/>
  <c r="U32" i="21"/>
  <c r="M32" i="21"/>
  <c r="Q32" i="21"/>
  <c r="G13" i="21"/>
  <c r="Q28" i="21" l="1"/>
  <c r="W28" i="21"/>
  <c r="H12" i="21"/>
  <c r="AE14" i="21"/>
  <c r="AI14" i="21" s="1"/>
  <c r="AH14" i="21"/>
  <c r="AE27" i="21"/>
  <c r="AI27" i="21" s="1"/>
  <c r="AH27" i="21"/>
  <c r="AE24" i="21"/>
  <c r="AI24" i="21" s="1"/>
  <c r="AH24" i="21"/>
  <c r="Y36" i="21"/>
  <c r="Z36" i="21" s="1"/>
  <c r="AA36" i="21" s="1"/>
  <c r="Y34" i="21"/>
  <c r="Z34" i="21" s="1"/>
  <c r="AA34" i="21" s="1"/>
  <c r="K24" i="21"/>
  <c r="AD12" i="21"/>
  <c r="Y25" i="21"/>
  <c r="Y26" i="21"/>
  <c r="Y30" i="21"/>
  <c r="Z30" i="21" s="1"/>
  <c r="AA30" i="21" s="1"/>
  <c r="AD13" i="21"/>
  <c r="AF13" i="21"/>
  <c r="AG13" i="21" s="1"/>
  <c r="X13" i="21"/>
  <c r="AG12" i="21"/>
  <c r="X12" i="21"/>
  <c r="O28" i="21"/>
  <c r="M28" i="21"/>
  <c r="Y29" i="21"/>
  <c r="AB29" i="21" s="1"/>
  <c r="AC29" i="21" s="1"/>
  <c r="U28" i="21"/>
  <c r="Y17" i="21"/>
  <c r="Y16" i="21"/>
  <c r="S28" i="21"/>
  <c r="Y35" i="21"/>
  <c r="Z35" i="21" s="1"/>
  <c r="AA35" i="21" s="1"/>
  <c r="Y19" i="21"/>
  <c r="Y32" i="21"/>
  <c r="Z32" i="21" s="1"/>
  <c r="AA32" i="21" s="1"/>
  <c r="S14" i="21"/>
  <c r="O14" i="21"/>
  <c r="U14" i="21"/>
  <c r="Q14" i="21"/>
  <c r="M14" i="21"/>
  <c r="Q18" i="21"/>
  <c r="O18" i="21"/>
  <c r="U18" i="21"/>
  <c r="M18" i="21"/>
  <c r="S18" i="21"/>
  <c r="Y20" i="21"/>
  <c r="Y23" i="21"/>
  <c r="U27" i="21"/>
  <c r="Q27" i="21"/>
  <c r="M27" i="21"/>
  <c r="O27" i="21"/>
  <c r="S27" i="21"/>
  <c r="Y22" i="21"/>
  <c r="Y33" i="21"/>
  <c r="Z33" i="21" s="1"/>
  <c r="AA33" i="21" s="1"/>
  <c r="Y31" i="21"/>
  <c r="Y15" i="21"/>
  <c r="Y21" i="21"/>
  <c r="C28" i="26"/>
  <c r="D28" i="26" s="1"/>
  <c r="Q24" i="21" l="1"/>
  <c r="W24" i="21"/>
  <c r="I12" i="21"/>
  <c r="J12" i="21" s="1"/>
  <c r="K12" i="21" s="1"/>
  <c r="AE13" i="21"/>
  <c r="AI13" i="21" s="1"/>
  <c r="AH13" i="21"/>
  <c r="AE12" i="21"/>
  <c r="AH12" i="21"/>
  <c r="O24" i="21"/>
  <c r="M24" i="21"/>
  <c r="S24" i="21"/>
  <c r="U24" i="21"/>
  <c r="AB19" i="21"/>
  <c r="AC19" i="21" s="1"/>
  <c r="AB16" i="21"/>
  <c r="AC16" i="21" s="1"/>
  <c r="AB17" i="21"/>
  <c r="AC17" i="21" s="1"/>
  <c r="Y28" i="21"/>
  <c r="AB28" i="21" s="1"/>
  <c r="AC28" i="21" s="1"/>
  <c r="Z17" i="21"/>
  <c r="AA17" i="21" s="1"/>
  <c r="AB30" i="21"/>
  <c r="AC30" i="21" s="1"/>
  <c r="Y27" i="21"/>
  <c r="AB27" i="21" s="1"/>
  <c r="AC27" i="21" s="1"/>
  <c r="H13" i="21"/>
  <c r="I13" i="21" s="1"/>
  <c r="Z29" i="21"/>
  <c r="AA29" i="21" s="1"/>
  <c r="Z16" i="21"/>
  <c r="AA16" i="21" s="1"/>
  <c r="Z19" i="21"/>
  <c r="AA19" i="21" s="1"/>
  <c r="AB15" i="21"/>
  <c r="AC15" i="21" s="1"/>
  <c r="Z15" i="21"/>
  <c r="AA15" i="21" s="1"/>
  <c r="AB25" i="21"/>
  <c r="AC25" i="21" s="1"/>
  <c r="Z25" i="21"/>
  <c r="AA25" i="21" s="1"/>
  <c r="AB31" i="21"/>
  <c r="AC31" i="21" s="1"/>
  <c r="Z31" i="21"/>
  <c r="AA31" i="21" s="1"/>
  <c r="AB23" i="21"/>
  <c r="AC23" i="21" s="1"/>
  <c r="Z23" i="21"/>
  <c r="AA23" i="21" s="1"/>
  <c r="AB20" i="21"/>
  <c r="AC20" i="21" s="1"/>
  <c r="Z20" i="21"/>
  <c r="AA20" i="21" s="1"/>
  <c r="Y18" i="21"/>
  <c r="AB21" i="21"/>
  <c r="AC21" i="21" s="1"/>
  <c r="Z21" i="21"/>
  <c r="AA21" i="21" s="1"/>
  <c r="Z22" i="21"/>
  <c r="AA22" i="21" s="1"/>
  <c r="AB22" i="21"/>
  <c r="AC22" i="21" s="1"/>
  <c r="AB26" i="21"/>
  <c r="AC26" i="21" s="1"/>
  <c r="Z26" i="21"/>
  <c r="AA26" i="21" s="1"/>
  <c r="Y14" i="21"/>
  <c r="C28" i="25"/>
  <c r="D28" i="25" s="1"/>
  <c r="AI12" i="21" l="1"/>
  <c r="Y24" i="21"/>
  <c r="AB24" i="21" s="1"/>
  <c r="AC24" i="21" s="1"/>
  <c r="Z14" i="21"/>
  <c r="AA14" i="21" s="1"/>
  <c r="Z28" i="21"/>
  <c r="AA28" i="21" s="1"/>
  <c r="Z27" i="21"/>
  <c r="AA27" i="21" s="1"/>
  <c r="J13" i="21"/>
  <c r="K13" i="21" s="1"/>
  <c r="W13" i="21" s="1"/>
  <c r="AB18" i="21"/>
  <c r="AC18" i="21" s="1"/>
  <c r="Z18" i="21"/>
  <c r="AA18" i="21" s="1"/>
  <c r="AB14" i="21"/>
  <c r="AC14" i="21" s="1"/>
  <c r="C22" i="26"/>
  <c r="D22" i="26" s="1"/>
  <c r="C22" i="25"/>
  <c r="D22" i="25" s="1"/>
  <c r="Z24" i="21" l="1"/>
  <c r="AA24" i="21" s="1"/>
  <c r="O12" i="21"/>
  <c r="W12" i="21"/>
  <c r="U12" i="21"/>
  <c r="Q12" i="21"/>
  <c r="S12" i="21"/>
  <c r="M12" i="21"/>
  <c r="Q13" i="21"/>
  <c r="S13" i="21"/>
  <c r="U13" i="21"/>
  <c r="M13" i="21"/>
  <c r="O13" i="21"/>
  <c r="Y12" i="21" l="1"/>
  <c r="Z12" i="21" s="1"/>
  <c r="AA12" i="21" s="1"/>
  <c r="Y13" i="21"/>
  <c r="AD11" i="21"/>
  <c r="X11" i="21"/>
  <c r="AG11" i="21"/>
  <c r="AD10" i="21"/>
  <c r="AG10" i="21"/>
  <c r="X10" i="21"/>
  <c r="AE10" i="21" l="1"/>
  <c r="AH10" i="21"/>
  <c r="AE11" i="21"/>
  <c r="AH11" i="21"/>
  <c r="AB12" i="21"/>
  <c r="AC12" i="21" s="1"/>
  <c r="H10" i="21"/>
  <c r="I10" i="21" s="1"/>
  <c r="AB13" i="21"/>
  <c r="AC13" i="21" s="1"/>
  <c r="Z13" i="21"/>
  <c r="AA13" i="21" s="1"/>
  <c r="H11" i="21"/>
  <c r="I11" i="21" s="1"/>
  <c r="J11" i="21" s="1"/>
  <c r="AG38" i="21"/>
  <c r="AF38" i="21"/>
  <c r="AI11" i="21" l="1"/>
  <c r="C32" i="27"/>
  <c r="C32" i="26"/>
  <c r="AI10" i="21"/>
  <c r="K11" i="21"/>
  <c r="W11" i="21" s="1"/>
  <c r="J10" i="21"/>
  <c r="K10" i="21" s="1"/>
  <c r="W10" i="21" s="1"/>
  <c r="U11" i="21" l="1"/>
  <c r="O11" i="21"/>
  <c r="Q11" i="21"/>
  <c r="O10" i="21"/>
  <c r="Q10" i="21"/>
  <c r="U10" i="21"/>
  <c r="S10" i="21"/>
  <c r="M11" i="21"/>
  <c r="M10" i="21"/>
  <c r="S11" i="21"/>
  <c r="Y11" i="21" l="1"/>
  <c r="Z11" i="21" s="1"/>
  <c r="AA11" i="21" s="1"/>
  <c r="A9" i="23" s="1"/>
  <c r="AB11" i="21" l="1"/>
  <c r="AC11" i="21" s="1"/>
  <c r="Z10" i="21"/>
  <c r="AA10" i="21" s="1"/>
  <c r="A8" i="23" s="1"/>
  <c r="AC10" i="21"/>
  <c r="C31" i="27" l="1"/>
  <c r="C31" i="26"/>
  <c r="C35" i="26" s="1"/>
  <c r="D35" i="26" s="1"/>
  <c r="D38" i="26" s="1"/>
  <c r="C35" i="27" l="1"/>
  <c r="D35" i="27" s="1"/>
  <c r="D38" i="27" s="1"/>
  <c r="X9" i="21" l="1"/>
  <c r="X38" i="21" s="1"/>
  <c r="F38" i="21"/>
  <c r="G38" i="21" l="1"/>
  <c r="AD9" i="21"/>
  <c r="K9" i="21" l="1"/>
  <c r="AH9" i="21"/>
  <c r="AH38" i="21" s="1"/>
  <c r="AD38" i="21"/>
  <c r="AE9" i="21"/>
  <c r="I38" i="21" l="1"/>
  <c r="AI9" i="21"/>
  <c r="AI38" i="21" s="1"/>
  <c r="AE38" i="21"/>
  <c r="C32" i="25"/>
  <c r="J38" i="21"/>
  <c r="U9" i="21" l="1"/>
  <c r="K38" i="21"/>
  <c r="M9" i="21"/>
  <c r="S9" i="21"/>
  <c r="W9" i="21"/>
  <c r="Q9" i="21"/>
  <c r="O9" i="21"/>
  <c r="Y9" i="21" l="1"/>
  <c r="AB9" i="21" l="1"/>
  <c r="Y38" i="21"/>
  <c r="Z9" i="21"/>
  <c r="AA9" i="21" l="1"/>
  <c r="A7" i="23" s="1"/>
  <c r="Z38" i="21"/>
  <c r="AB38" i="21"/>
  <c r="AC9" i="21"/>
  <c r="AC38" i="21" l="1"/>
  <c r="C31" i="25"/>
  <c r="C35" i="25" s="1"/>
  <c r="D35" i="25" s="1"/>
  <c r="D38" i="25" s="1"/>
  <c r="AA38" i="21"/>
</calcChain>
</file>

<file path=xl/sharedStrings.xml><?xml version="1.0" encoding="utf-8"?>
<sst xmlns="http://schemas.openxmlformats.org/spreadsheetml/2006/main" count="455" uniqueCount="71">
  <si>
    <t>NAME</t>
  </si>
  <si>
    <t>PENSION</t>
  </si>
  <si>
    <t>N</t>
  </si>
  <si>
    <t>S/N</t>
  </si>
  <si>
    <t>EXEMPTIONS</t>
  </si>
  <si>
    <t>TAX FREE PAY</t>
  </si>
  <si>
    <t>TAXABLE INCOME</t>
  </si>
  <si>
    <t>CONSOLIDATED RELIEF ALLOWANCE</t>
  </si>
  <si>
    <t>TAX RATE</t>
  </si>
  <si>
    <t>IST N300,000</t>
  </si>
  <si>
    <t>NEXT N300,000</t>
  </si>
  <si>
    <t>NEXT N500,000</t>
  </si>
  <si>
    <t>NEXT N1,600,000</t>
  </si>
  <si>
    <t>ABOVE N3,200,000</t>
  </si>
  <si>
    <t>FIRST N300,000</t>
  </si>
  <si>
    <t xml:space="preserve">NEXT N300,000 </t>
  </si>
  <si>
    <t>MINIMUM TAX</t>
  </si>
  <si>
    <t>Gross Annual Pay</t>
  </si>
  <si>
    <t>%</t>
  </si>
  <si>
    <t>COMPUTED</t>
  </si>
  <si>
    <t>EXPECTED ANNUAL PAYE DEDUCTION</t>
  </si>
  <si>
    <t>DESIGNATION</t>
  </si>
  <si>
    <t>NET PAY</t>
  </si>
  <si>
    <t>Name</t>
  </si>
  <si>
    <t>Staff Code</t>
  </si>
  <si>
    <t>Month</t>
  </si>
  <si>
    <t>Year</t>
  </si>
  <si>
    <t>Description</t>
  </si>
  <si>
    <t>Location</t>
  </si>
  <si>
    <t>Designation</t>
  </si>
  <si>
    <t xml:space="preserve"> </t>
  </si>
  <si>
    <t>Non-Statutory</t>
  </si>
  <si>
    <t>Lateness</t>
  </si>
  <si>
    <t>Loan</t>
  </si>
  <si>
    <t>Statutory Deductions</t>
  </si>
  <si>
    <t>PAYE</t>
  </si>
  <si>
    <t>NHIS</t>
  </si>
  <si>
    <t>NSITF</t>
  </si>
  <si>
    <t>Pension</t>
  </si>
  <si>
    <t>Net Pay</t>
  </si>
  <si>
    <t>Total Non-Statutory Deductions</t>
  </si>
  <si>
    <t>Total Statutory Deductions</t>
  </si>
  <si>
    <t>Less: Deductions</t>
  </si>
  <si>
    <t>Prepared by:</t>
  </si>
  <si>
    <t>Name:</t>
  </si>
  <si>
    <t>Designation:</t>
  </si>
  <si>
    <t>Date</t>
  </si>
  <si>
    <t>Signature</t>
  </si>
  <si>
    <t>Approved by:</t>
  </si>
  <si>
    <t>Basic Salary</t>
  </si>
  <si>
    <t>Housing Allowance</t>
  </si>
  <si>
    <t>Transport Allowance</t>
  </si>
  <si>
    <t>Personal Pay Leave Allowance</t>
  </si>
  <si>
    <t>Perfomance Linked Incentive</t>
  </si>
  <si>
    <t>Gross Remuneration</t>
  </si>
  <si>
    <t>(A) Components of Salary</t>
  </si>
  <si>
    <t>(B) Other Benefits</t>
  </si>
  <si>
    <t>-</t>
  </si>
  <si>
    <t>NET INCOME</t>
  </si>
  <si>
    <t>Finsilver Global Limited</t>
  </si>
  <si>
    <t>Pension- Employee Contribution</t>
  </si>
  <si>
    <t>Pension- Employer Contribution</t>
  </si>
  <si>
    <t>Total Pension- Contribution</t>
  </si>
  <si>
    <t>Annual</t>
  </si>
  <si>
    <t>Monthly</t>
  </si>
  <si>
    <t>Staff Location</t>
  </si>
  <si>
    <t>Others</t>
  </si>
  <si>
    <t>Annual Gross Total</t>
  </si>
  <si>
    <t>Monthly Gross Total</t>
  </si>
  <si>
    <t xml:space="preserve">Basic </t>
  </si>
  <si>
    <t xml:space="preserve">If Pension is computed on Gross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</si>
</sst>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_-* #,##0_-;\-* #,##0_-;_-* &quot;-&quot;??_-;_-@_-"/>
    <numFmt numFmtId="166" formatCode="[$-409]mmmm\-yy;@"/>
    <numFmt numFmtId="167" formatCode="[$-409]d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7"/>
      <color theme="1"/>
      <name val="Century Gothic"/>
      <family val="2"/>
    </font>
    <font>
      <sz val="7"/>
      <color theme="1"/>
      <name val="Century Gothic"/>
      <family val="2"/>
    </font>
    <font>
      <sz val="10"/>
      <name val="Arial"/>
      <family val="2"/>
    </font>
    <font>
      <b/>
      <u/>
      <sz val="7"/>
      <color theme="1"/>
      <name val="Century Gothic"/>
      <family val="2"/>
    </font>
    <font>
      <sz val="7"/>
      <color theme="1"/>
      <name val="Times New Roman"/>
      <family val="1"/>
    </font>
    <font>
      <b/>
      <sz val="7"/>
      <color rgb="FF000000"/>
      <name val="Times New Roman"/>
      <family val="1"/>
    </font>
    <font>
      <b/>
      <sz val="7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5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9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/>
    <xf numFmtId="166" fontId="1" fillId="0" borderId="0"/>
    <xf numFmtId="166" fontId="4" fillId="0" borderId="0"/>
  </cellStyleXfs>
  <cellXfs count="200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1" applyNumberFormat="1" applyFont="1"/>
    <xf numFmtId="164" fontId="3" fillId="0" borderId="0" xfId="1" applyFont="1"/>
    <xf numFmtId="164" fontId="3" fillId="0" borderId="16" xfId="1" applyFont="1" applyFill="1" applyBorder="1"/>
    <xf numFmtId="0" fontId="2" fillId="0" borderId="7" xfId="0" applyFont="1" applyBorder="1"/>
    <xf numFmtId="0" fontId="2" fillId="2" borderId="8" xfId="0" applyFont="1" applyFill="1" applyBorder="1"/>
    <xf numFmtId="0" fontId="2" fillId="3" borderId="22" xfId="0" applyFont="1" applyFill="1" applyBorder="1" applyAlignment="1">
      <alignment horizontal="center"/>
    </xf>
    <xf numFmtId="165" fontId="3" fillId="4" borderId="12" xfId="1" applyNumberFormat="1" applyFont="1" applyFill="1" applyBorder="1"/>
    <xf numFmtId="9" fontId="3" fillId="4" borderId="12" xfId="2" applyFont="1" applyFill="1" applyBorder="1"/>
    <xf numFmtId="9" fontId="3" fillId="0" borderId="0" xfId="2" applyFont="1"/>
    <xf numFmtId="0" fontId="2" fillId="3" borderId="8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/>
    </xf>
    <xf numFmtId="0" fontId="2" fillId="3" borderId="29" xfId="0" applyFont="1" applyFill="1" applyBorder="1" applyAlignment="1">
      <alignment horizontal="center"/>
    </xf>
    <xf numFmtId="9" fontId="3" fillId="5" borderId="16" xfId="0" applyNumberFormat="1" applyFont="1" applyFill="1" applyBorder="1"/>
    <xf numFmtId="43" fontId="3" fillId="4" borderId="17" xfId="1" applyNumberFormat="1" applyFont="1" applyFill="1" applyBorder="1"/>
    <xf numFmtId="165" fontId="2" fillId="0" borderId="18" xfId="0" applyNumberFormat="1" applyFont="1" applyBorder="1"/>
    <xf numFmtId="0" fontId="2" fillId="0" borderId="19" xfId="0" applyFont="1" applyBorder="1"/>
    <xf numFmtId="0" fontId="2" fillId="0" borderId="20" xfId="0" applyFont="1" applyBorder="1"/>
    <xf numFmtId="9" fontId="3" fillId="4" borderId="23" xfId="2" applyFont="1" applyFill="1" applyBorder="1"/>
    <xf numFmtId="9" fontId="2" fillId="0" borderId="32" xfId="2" applyFont="1" applyBorder="1"/>
    <xf numFmtId="0" fontId="2" fillId="0" borderId="32" xfId="0" applyFont="1" applyBorder="1"/>
    <xf numFmtId="0" fontId="2" fillId="3" borderId="35" xfId="0" applyFont="1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2" fillId="3" borderId="21" xfId="0" applyFont="1" applyFill="1" applyBorder="1" applyAlignment="1">
      <alignment horizontal="center"/>
    </xf>
    <xf numFmtId="0" fontId="2" fillId="3" borderId="34" xfId="0" applyFont="1" applyFill="1" applyBorder="1" applyAlignment="1">
      <alignment horizontal="center"/>
    </xf>
    <xf numFmtId="9" fontId="2" fillId="3" borderId="34" xfId="2" applyFont="1" applyFill="1" applyBorder="1" applyAlignment="1">
      <alignment horizontal="center"/>
    </xf>
    <xf numFmtId="164" fontId="3" fillId="0" borderId="0" xfId="1" applyFont="1" applyFill="1"/>
    <xf numFmtId="0" fontId="2" fillId="3" borderId="9" xfId="0" applyFont="1" applyFill="1" applyBorder="1" applyAlignment="1">
      <alignment horizontal="center"/>
    </xf>
    <xf numFmtId="43" fontId="3" fillId="4" borderId="11" xfId="1" applyNumberFormat="1" applyFont="1" applyFill="1" applyBorder="1"/>
    <xf numFmtId="0" fontId="2" fillId="0" borderId="33" xfId="0" applyFont="1" applyBorder="1"/>
    <xf numFmtId="164" fontId="2" fillId="0" borderId="35" xfId="1" applyFont="1" applyFill="1" applyBorder="1" applyAlignment="1">
      <alignment horizontal="center"/>
    </xf>
    <xf numFmtId="164" fontId="2" fillId="0" borderId="36" xfId="1" applyFont="1" applyFill="1" applyBorder="1" applyAlignment="1">
      <alignment horizontal="center"/>
    </xf>
    <xf numFmtId="165" fontId="3" fillId="2" borderId="11" xfId="1" applyNumberFormat="1" applyFont="1" applyFill="1" applyBorder="1"/>
    <xf numFmtId="164" fontId="3" fillId="3" borderId="38" xfId="0" applyNumberFormat="1" applyFont="1" applyFill="1" applyBorder="1"/>
    <xf numFmtId="0" fontId="2" fillId="5" borderId="3" xfId="0" applyFont="1" applyFill="1" applyBorder="1" applyAlignment="1">
      <alignment horizontal="center" vertical="center"/>
    </xf>
    <xf numFmtId="164" fontId="3" fillId="5" borderId="28" xfId="0" applyNumberFormat="1" applyFont="1" applyFill="1" applyBorder="1"/>
    <xf numFmtId="165" fontId="3" fillId="2" borderId="16" xfId="1" applyNumberFormat="1" applyFont="1" applyFill="1" applyBorder="1"/>
    <xf numFmtId="164" fontId="3" fillId="2" borderId="31" xfId="1" applyFont="1" applyFill="1" applyBorder="1"/>
    <xf numFmtId="165" fontId="3" fillId="0" borderId="31" xfId="1" applyNumberFormat="1" applyFont="1" applyBorder="1"/>
    <xf numFmtId="165" fontId="2" fillId="0" borderId="39" xfId="0" applyNumberFormat="1" applyFont="1" applyBorder="1"/>
    <xf numFmtId="0" fontId="2" fillId="0" borderId="18" xfId="0" applyFont="1" applyBorder="1"/>
    <xf numFmtId="0" fontId="2" fillId="0" borderId="39" xfId="0" applyFont="1" applyBorder="1"/>
    <xf numFmtId="0" fontId="3" fillId="0" borderId="40" xfId="0" applyFont="1" applyBorder="1"/>
    <xf numFmtId="0" fontId="3" fillId="0" borderId="35" xfId="0" applyFont="1" applyBorder="1"/>
    <xf numFmtId="0" fontId="3" fillId="3" borderId="8" xfId="0" applyFont="1" applyFill="1" applyBorder="1"/>
    <xf numFmtId="0" fontId="3" fillId="5" borderId="8" xfId="0" applyFont="1" applyFill="1" applyBorder="1"/>
    <xf numFmtId="164" fontId="3" fillId="0" borderId="31" xfId="1" applyFont="1" applyBorder="1"/>
    <xf numFmtId="164" fontId="2" fillId="0" borderId="4" xfId="1" applyFont="1" applyFill="1" applyBorder="1" applyAlignment="1">
      <alignment horizontal="center" vertical="center"/>
    </xf>
    <xf numFmtId="165" fontId="2" fillId="0" borderId="0" xfId="1" applyNumberFormat="1" applyFont="1"/>
    <xf numFmtId="0" fontId="2" fillId="0" borderId="25" xfId="0" applyFont="1" applyBorder="1" applyAlignment="1">
      <alignment vertical="center"/>
    </xf>
    <xf numFmtId="0" fontId="2" fillId="0" borderId="26" xfId="0" applyFont="1" applyBorder="1" applyAlignment="1">
      <alignment vertical="center"/>
    </xf>
    <xf numFmtId="1" fontId="3" fillId="0" borderId="31" xfId="0" applyNumberFormat="1" applyFont="1" applyBorder="1"/>
    <xf numFmtId="43" fontId="3" fillId="0" borderId="0" xfId="0" applyNumberFormat="1" applyFont="1"/>
    <xf numFmtId="0" fontId="3" fillId="0" borderId="43" xfId="0" applyFont="1" applyBorder="1"/>
    <xf numFmtId="0" fontId="3" fillId="0" borderId="44" xfId="0" applyFont="1" applyBorder="1"/>
    <xf numFmtId="0" fontId="3" fillId="0" borderId="45" xfId="0" applyFont="1" applyBorder="1"/>
    <xf numFmtId="0" fontId="2" fillId="0" borderId="8" xfId="0" applyFont="1" applyBorder="1"/>
    <xf numFmtId="0" fontId="3" fillId="0" borderId="6" xfId="0" applyFont="1" applyBorder="1"/>
    <xf numFmtId="0" fontId="5" fillId="0" borderId="6" xfId="0" applyFont="1" applyBorder="1"/>
    <xf numFmtId="0" fontId="3" fillId="0" borderId="42" xfId="0" applyFont="1" applyBorder="1"/>
    <xf numFmtId="0" fontId="3" fillId="0" borderId="38" xfId="0" applyFont="1" applyBorder="1"/>
    <xf numFmtId="0" fontId="3" fillId="0" borderId="46" xfId="0" applyFont="1" applyBorder="1"/>
    <xf numFmtId="0" fontId="2" fillId="0" borderId="6" xfId="0" applyFont="1" applyBorder="1"/>
    <xf numFmtId="164" fontId="3" fillId="0" borderId="44" xfId="1" applyFont="1" applyBorder="1"/>
    <xf numFmtId="164" fontId="3" fillId="0" borderId="28" xfId="1" applyFont="1" applyBorder="1"/>
    <xf numFmtId="164" fontId="3" fillId="0" borderId="45" xfId="1" applyFont="1" applyBorder="1"/>
    <xf numFmtId="164" fontId="2" fillId="0" borderId="43" xfId="1" applyFont="1" applyBorder="1"/>
    <xf numFmtId="164" fontId="3" fillId="0" borderId="43" xfId="1" applyFont="1" applyBorder="1"/>
    <xf numFmtId="43" fontId="3" fillId="0" borderId="44" xfId="1" applyNumberFormat="1" applyFont="1" applyBorder="1"/>
    <xf numFmtId="43" fontId="3" fillId="0" borderId="45" xfId="1" applyNumberFormat="1" applyFont="1" applyBorder="1"/>
    <xf numFmtId="43" fontId="2" fillId="0" borderId="43" xfId="1" applyNumberFormat="1" applyFont="1" applyBorder="1"/>
    <xf numFmtId="43" fontId="3" fillId="0" borderId="43" xfId="1" applyNumberFormat="1" applyFont="1" applyBorder="1"/>
    <xf numFmtId="0" fontId="2" fillId="0" borderId="43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40" xfId="0" applyFont="1" applyBorder="1" applyAlignment="1">
      <alignment horizontal="center"/>
    </xf>
    <xf numFmtId="0" fontId="3" fillId="0" borderId="31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2" borderId="8" xfId="0" applyFont="1" applyFill="1" applyBorder="1" applyAlignment="1">
      <alignment vertical="center"/>
    </xf>
    <xf numFmtId="164" fontId="3" fillId="0" borderId="43" xfId="1" applyFont="1" applyBorder="1" applyAlignment="1">
      <alignment horizontal="right"/>
    </xf>
    <xf numFmtId="164" fontId="3" fillId="0" borderId="28" xfId="1" applyFont="1" applyBorder="1" applyAlignment="1">
      <alignment horizontal="right"/>
    </xf>
    <xf numFmtId="164" fontId="3" fillId="0" borderId="45" xfId="1" applyFont="1" applyBorder="1" applyAlignment="1">
      <alignment horizontal="right"/>
    </xf>
    <xf numFmtId="164" fontId="3" fillId="0" borderId="12" xfId="1" applyFont="1" applyBorder="1"/>
    <xf numFmtId="165" fontId="3" fillId="0" borderId="0" xfId="0" applyNumberFormat="1" applyFont="1"/>
    <xf numFmtId="0" fontId="2" fillId="0" borderId="0" xfId="0" applyFont="1" applyAlignment="1">
      <alignment horizontal="left"/>
    </xf>
    <xf numFmtId="164" fontId="2" fillId="6" borderId="25" xfId="1" applyFont="1" applyFill="1" applyBorder="1" applyAlignment="1">
      <alignment horizontal="center" vertical="center"/>
    </xf>
    <xf numFmtId="164" fontId="3" fillId="6" borderId="47" xfId="1" applyFont="1" applyFill="1" applyBorder="1"/>
    <xf numFmtId="164" fontId="3" fillId="6" borderId="11" xfId="1" applyFont="1" applyFill="1" applyBorder="1"/>
    <xf numFmtId="0" fontId="3" fillId="0" borderId="12" xfId="0" applyFont="1" applyBorder="1"/>
    <xf numFmtId="43" fontId="3" fillId="0" borderId="12" xfId="0" applyNumberFormat="1" applyFont="1" applyBorder="1"/>
    <xf numFmtId="4" fontId="3" fillId="0" borderId="12" xfId="0" applyNumberFormat="1" applyFont="1" applyBorder="1"/>
    <xf numFmtId="0" fontId="3" fillId="0" borderId="16" xfId="0" applyFont="1" applyBorder="1"/>
    <xf numFmtId="0" fontId="3" fillId="0" borderId="17" xfId="0" applyFont="1" applyBorder="1"/>
    <xf numFmtId="43" fontId="3" fillId="0" borderId="16" xfId="0" applyNumberFormat="1" applyFont="1" applyBorder="1"/>
    <xf numFmtId="43" fontId="3" fillId="0" borderId="17" xfId="0" applyNumberFormat="1" applyFont="1" applyBorder="1"/>
    <xf numFmtId="0" fontId="3" fillId="0" borderId="10" xfId="0" applyFont="1" applyBorder="1"/>
    <xf numFmtId="164" fontId="3" fillId="0" borderId="10" xfId="1" applyFont="1" applyBorder="1"/>
    <xf numFmtId="0" fontId="3" fillId="0" borderId="21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9" xfId="0" applyFont="1" applyBorder="1"/>
    <xf numFmtId="0" fontId="3" fillId="0" borderId="11" xfId="0" applyFont="1" applyBorder="1"/>
    <xf numFmtId="43" fontId="3" fillId="0" borderId="11" xfId="0" applyNumberFormat="1" applyFont="1" applyBorder="1"/>
    <xf numFmtId="164" fontId="3" fillId="0" borderId="52" xfId="1" applyFont="1" applyFill="1" applyBorder="1"/>
    <xf numFmtId="164" fontId="3" fillId="6" borderId="53" xfId="1" applyFont="1" applyFill="1" applyBorder="1"/>
    <xf numFmtId="43" fontId="3" fillId="0" borderId="52" xfId="0" applyNumberFormat="1" applyFont="1" applyBorder="1"/>
    <xf numFmtId="164" fontId="3" fillId="0" borderId="41" xfId="1" applyFont="1" applyBorder="1"/>
    <xf numFmtId="0" fontId="3" fillId="0" borderId="41" xfId="0" applyFont="1" applyBorder="1"/>
    <xf numFmtId="43" fontId="3" fillId="0" borderId="41" xfId="0" applyNumberFormat="1" applyFont="1" applyBorder="1"/>
    <xf numFmtId="43" fontId="3" fillId="0" borderId="53" xfId="0" applyNumberFormat="1" applyFont="1" applyBorder="1"/>
    <xf numFmtId="43" fontId="3" fillId="0" borderId="54" xfId="0" applyNumberFormat="1" applyFont="1" applyBorder="1"/>
    <xf numFmtId="165" fontId="2" fillId="0" borderId="1" xfId="0" applyNumberFormat="1" applyFont="1" applyBorder="1"/>
    <xf numFmtId="165" fontId="2" fillId="0" borderId="36" xfId="0" applyNumberFormat="1" applyFont="1" applyBorder="1"/>
    <xf numFmtId="164" fontId="2" fillId="0" borderId="50" xfId="1" applyFont="1" applyBorder="1"/>
    <xf numFmtId="165" fontId="2" fillId="0" borderId="50" xfId="0" applyNumberFormat="1" applyFont="1" applyBorder="1"/>
    <xf numFmtId="165" fontId="2" fillId="0" borderId="37" xfId="0" applyNumberFormat="1" applyFont="1" applyBorder="1"/>
    <xf numFmtId="164" fontId="2" fillId="0" borderId="51" xfId="1" applyFont="1" applyBorder="1" applyAlignment="1">
      <alignment horizontal="center" vertical="center"/>
    </xf>
    <xf numFmtId="164" fontId="2" fillId="0" borderId="49" xfId="1" applyFont="1" applyBorder="1" applyAlignment="1">
      <alignment horizontal="center" vertical="center"/>
    </xf>
    <xf numFmtId="164" fontId="2" fillId="6" borderId="9" xfId="1" applyFont="1" applyFill="1" applyBorder="1" applyAlignment="1">
      <alignment horizontal="center"/>
    </xf>
    <xf numFmtId="164" fontId="3" fillId="0" borderId="0" xfId="0" applyNumberFormat="1" applyFont="1"/>
    <xf numFmtId="0" fontId="6" fillId="0" borderId="0" xfId="0" applyFont="1"/>
    <xf numFmtId="1" fontId="6" fillId="0" borderId="0" xfId="0" applyNumberFormat="1" applyFont="1"/>
    <xf numFmtId="0" fontId="7" fillId="0" borderId="0" xfId="0" applyFont="1" applyAlignment="1">
      <alignment vertical="center"/>
    </xf>
    <xf numFmtId="164" fontId="6" fillId="0" borderId="0" xfId="1" applyFont="1" applyFill="1" applyBorder="1"/>
    <xf numFmtId="1" fontId="8" fillId="0" borderId="0" xfId="0" applyNumberFormat="1" applyFont="1"/>
    <xf numFmtId="0" fontId="8" fillId="0" borderId="0" xfId="0" applyFont="1" applyAlignment="1">
      <alignment wrapText="1"/>
    </xf>
    <xf numFmtId="1" fontId="8" fillId="0" borderId="12" xfId="0" applyNumberFormat="1" applyFont="1" applyBorder="1" applyAlignment="1">
      <alignment vertical="center"/>
    </xf>
    <xf numFmtId="4" fontId="6" fillId="0" borderId="12" xfId="0" applyNumberFormat="1" applyFont="1" applyBorder="1" applyAlignment="1">
      <alignment vertical="center"/>
    </xf>
    <xf numFmtId="4" fontId="8" fillId="0" borderId="12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0" xfId="0" applyFont="1"/>
    <xf numFmtId="1" fontId="6" fillId="0" borderId="12" xfId="0" applyNumberFormat="1" applyFont="1" applyBorder="1"/>
    <xf numFmtId="0" fontId="6" fillId="0" borderId="12" xfId="0" applyFont="1" applyBorder="1"/>
    <xf numFmtId="164" fontId="6" fillId="0" borderId="12" xfId="1" applyFont="1" applyFill="1" applyBorder="1"/>
    <xf numFmtId="1" fontId="6" fillId="0" borderId="12" xfId="0" applyNumberFormat="1" applyFont="1" applyBorder="1" applyAlignment="1">
      <alignment vertical="center"/>
    </xf>
    <xf numFmtId="1" fontId="6" fillId="0" borderId="12" xfId="0" applyNumberFormat="1" applyFont="1" applyBorder="1" applyAlignment="1">
      <alignment vertical="top"/>
    </xf>
    <xf numFmtId="1" fontId="8" fillId="0" borderId="12" xfId="0" applyNumberFormat="1" applyFont="1" applyBorder="1"/>
    <xf numFmtId="43" fontId="6" fillId="0" borderId="0" xfId="0" applyNumberFormat="1" applyFont="1"/>
    <xf numFmtId="0" fontId="6" fillId="0" borderId="0" xfId="0" applyFont="1" applyAlignment="1">
      <alignment wrapText="1"/>
    </xf>
    <xf numFmtId="4" fontId="8" fillId="0" borderId="12" xfId="0" applyNumberFormat="1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/>
    </xf>
    <xf numFmtId="1" fontId="8" fillId="0" borderId="12" xfId="0" applyNumberFormat="1" applyFont="1" applyBorder="1" applyAlignment="1">
      <alignment vertical="center" wrapText="1"/>
    </xf>
    <xf numFmtId="4" fontId="8" fillId="0" borderId="12" xfId="0" applyNumberFormat="1" applyFont="1" applyBorder="1" applyAlignment="1">
      <alignment vertical="center" wrapText="1"/>
    </xf>
    <xf numFmtId="0" fontId="7" fillId="7" borderId="0" xfId="0" applyFont="1" applyFill="1" applyAlignment="1">
      <alignment vertical="center"/>
    </xf>
    <xf numFmtId="4" fontId="8" fillId="7" borderId="12" xfId="0" applyNumberFormat="1" applyFont="1" applyFill="1" applyBorder="1" applyAlignment="1">
      <alignment horizontal="center" vertical="center" wrapText="1"/>
    </xf>
    <xf numFmtId="0" fontId="8" fillId="7" borderId="12" xfId="0" applyFont="1" applyFill="1" applyBorder="1" applyAlignment="1">
      <alignment horizontal="center" vertical="center"/>
    </xf>
    <xf numFmtId="164" fontId="6" fillId="7" borderId="12" xfId="1" applyFont="1" applyFill="1" applyBorder="1"/>
    <xf numFmtId="1" fontId="6" fillId="7" borderId="12" xfId="0" applyNumberFormat="1" applyFont="1" applyFill="1" applyBorder="1"/>
    <xf numFmtId="1" fontId="6" fillId="7" borderId="12" xfId="0" applyNumberFormat="1" applyFont="1" applyFill="1" applyBorder="1" applyAlignment="1">
      <alignment vertical="center"/>
    </xf>
    <xf numFmtId="0" fontId="6" fillId="7" borderId="12" xfId="0" applyFont="1" applyFill="1" applyBorder="1"/>
    <xf numFmtId="0" fontId="6" fillId="7" borderId="0" xfId="0" applyFont="1" applyFill="1"/>
    <xf numFmtId="4" fontId="8" fillId="0" borderId="55" xfId="0" applyNumberFormat="1" applyFont="1" applyBorder="1" applyAlignment="1">
      <alignment horizontal="center" vertical="center" wrapText="1"/>
    </xf>
    <xf numFmtId="43" fontId="6" fillId="7" borderId="0" xfId="0" applyNumberFormat="1" applyFont="1" applyFill="1"/>
    <xf numFmtId="0" fontId="3" fillId="0" borderId="25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30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43" xfId="0" applyFont="1" applyBorder="1" applyAlignment="1">
      <alignment horizontal="center"/>
    </xf>
    <xf numFmtId="164" fontId="3" fillId="0" borderId="4" xfId="1" applyFont="1" applyBorder="1" applyAlignment="1">
      <alignment horizontal="center"/>
    </xf>
    <xf numFmtId="164" fontId="3" fillId="0" borderId="22" xfId="1" applyFont="1" applyBorder="1" applyAlignment="1">
      <alignment horizontal="center"/>
    </xf>
    <xf numFmtId="164" fontId="3" fillId="0" borderId="6" xfId="1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1" fontId="3" fillId="0" borderId="1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1" fontId="3" fillId="0" borderId="26" xfId="0" applyNumberFormat="1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7" fillId="0" borderId="12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4" borderId="13" xfId="0" applyFont="1" applyFill="1" applyBorder="1" applyAlignment="1">
      <alignment horizontal="center" vertical="center" wrapText="1"/>
    </xf>
    <xf numFmtId="0" fontId="2" fillId="4" borderId="14" xfId="0" applyFont="1" applyFill="1" applyBorder="1" applyAlignment="1">
      <alignment horizontal="center" vertical="center" wrapText="1"/>
    </xf>
    <xf numFmtId="0" fontId="2" fillId="4" borderId="18" xfId="0" applyFont="1" applyFill="1" applyBorder="1" applyAlignment="1">
      <alignment horizontal="center" vertical="center" wrapText="1"/>
    </xf>
    <xf numFmtId="0" fontId="2" fillId="4" borderId="19" xfId="0" applyFont="1" applyFill="1" applyBorder="1" applyAlignment="1">
      <alignment horizontal="center" vertical="center" wrapText="1"/>
    </xf>
    <xf numFmtId="0" fontId="2" fillId="4" borderId="15" xfId="0" applyFont="1" applyFill="1" applyBorder="1" applyAlignment="1">
      <alignment horizontal="center" vertical="center" wrapText="1"/>
    </xf>
    <xf numFmtId="0" fontId="2" fillId="4" borderId="20" xfId="0" applyFont="1" applyFill="1" applyBorder="1" applyAlignment="1">
      <alignment horizontal="center" vertical="center" wrapText="1"/>
    </xf>
    <xf numFmtId="0" fontId="2" fillId="0" borderId="36" xfId="0" applyFont="1" applyBorder="1" applyAlignment="1">
      <alignment horizontal="center" vertical="center"/>
    </xf>
    <xf numFmtId="0" fontId="2" fillId="0" borderId="47" xfId="0" applyFont="1" applyBorder="1" applyAlignment="1">
      <alignment horizontal="center" vertical="center"/>
    </xf>
    <xf numFmtId="0" fontId="2" fillId="0" borderId="36" xfId="0" applyFont="1" applyBorder="1" applyAlignment="1">
      <alignment horizontal="center" vertical="center" wrapText="1"/>
    </xf>
    <xf numFmtId="0" fontId="2" fillId="0" borderId="37" xfId="0" applyFont="1" applyBorder="1" applyAlignment="1">
      <alignment horizontal="center" vertical="center" wrapText="1"/>
    </xf>
    <xf numFmtId="0" fontId="2" fillId="0" borderId="47" xfId="0" applyFont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wrapText="1"/>
    </xf>
    <xf numFmtId="0" fontId="2" fillId="2" borderId="43" xfId="0" applyFont="1" applyFill="1" applyBorder="1" applyAlignment="1">
      <alignment horizont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</cellXfs>
  <cellStyles count="9">
    <cellStyle name="Comma" xfId="1" builtinId="3"/>
    <cellStyle name="Comma 10" xfId="4" xr:uid="{00000000-0005-0000-0000-000001000000}"/>
    <cellStyle name="Comma 2" xfId="3" xr:uid="{00000000-0005-0000-0000-000002000000}"/>
    <cellStyle name="Comma 2 4" xfId="5" xr:uid="{00000000-0005-0000-0000-000003000000}"/>
    <cellStyle name="Normal" xfId="0" builtinId="0"/>
    <cellStyle name="Normal 2 14" xfId="8" xr:uid="{00000000-0005-0000-0000-000005000000}"/>
    <cellStyle name="Normal 3 10" xfId="6" xr:uid="{00000000-0005-0000-0000-000006000000}"/>
    <cellStyle name="Normal 5" xfId="7" xr:uid="{00000000-0005-0000-0000-000007000000}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44"/>
  <sheetViews>
    <sheetView workbookViewId="0">
      <selection activeCell="H22" sqref="H22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4" width="8.81640625" style="2" bestFit="1" customWidth="1"/>
    <col min="5" max="5" width="8" style="2" bestFit="1" customWidth="1"/>
    <col min="6" max="16384" width="9.1796875" style="2"/>
  </cols>
  <sheetData>
    <row r="2" spans="2:8" ht="11" thickBot="1" x14ac:dyDescent="0.35"/>
    <row r="3" spans="2:8" ht="11" thickBot="1" x14ac:dyDescent="0.35">
      <c r="B3" s="164"/>
      <c r="C3" s="58" t="s">
        <v>23</v>
      </c>
      <c r="D3" s="167">
        <f>Payroll_Raw!D7</f>
        <v>0</v>
      </c>
      <c r="E3" s="168"/>
      <c r="F3" s="169"/>
    </row>
    <row r="4" spans="2:8" ht="11" thickBot="1" x14ac:dyDescent="0.35">
      <c r="B4" s="165"/>
      <c r="C4" s="64" t="s">
        <v>24</v>
      </c>
      <c r="D4" s="170">
        <f>Payroll_Raw!F7</f>
        <v>0</v>
      </c>
      <c r="E4" s="171"/>
      <c r="F4" s="160"/>
    </row>
    <row r="5" spans="2:8" ht="11" thickBot="1" x14ac:dyDescent="0.35">
      <c r="B5" s="165"/>
      <c r="C5" s="64" t="s">
        <v>28</v>
      </c>
      <c r="D5" s="159">
        <f>Payroll_Raw!E7</f>
        <v>0</v>
      </c>
      <c r="E5" s="171"/>
      <c r="F5" s="160"/>
    </row>
    <row r="6" spans="2:8" ht="11" thickBot="1" x14ac:dyDescent="0.35">
      <c r="B6" s="165"/>
      <c r="C6" s="64" t="s">
        <v>29</v>
      </c>
      <c r="D6" s="170">
        <f>Payroll_Raw!G7</f>
        <v>0</v>
      </c>
      <c r="E6" s="171"/>
      <c r="F6" s="160"/>
    </row>
    <row r="7" spans="2:8" ht="11" thickBot="1" x14ac:dyDescent="0.35">
      <c r="B7" s="165"/>
      <c r="C7" s="64"/>
      <c r="D7" s="159"/>
      <c r="E7" s="171"/>
      <c r="F7" s="160"/>
    </row>
    <row r="8" spans="2:8" ht="11" thickBot="1" x14ac:dyDescent="0.35">
      <c r="B8" s="165"/>
      <c r="C8" s="64" t="s">
        <v>25</v>
      </c>
      <c r="D8" s="159"/>
      <c r="E8" s="171"/>
      <c r="F8" s="160"/>
    </row>
    <row r="9" spans="2:8" ht="11" thickBot="1" x14ac:dyDescent="0.35">
      <c r="B9" s="165"/>
      <c r="C9" s="64" t="s">
        <v>26</v>
      </c>
      <c r="D9" s="159">
        <v>2022</v>
      </c>
      <c r="E9" s="171"/>
      <c r="F9" s="160"/>
    </row>
    <row r="10" spans="2:8" ht="11" thickBot="1" x14ac:dyDescent="0.35">
      <c r="B10" s="166"/>
      <c r="C10" s="59"/>
      <c r="D10" s="159"/>
      <c r="E10" s="171"/>
      <c r="F10" s="160"/>
    </row>
    <row r="11" spans="2:8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8" ht="11" thickBot="1" x14ac:dyDescent="0.35">
      <c r="B12" s="59" t="s">
        <v>30</v>
      </c>
      <c r="C12" s="55"/>
      <c r="D12" s="55"/>
      <c r="E12" s="157"/>
      <c r="F12" s="158"/>
    </row>
    <row r="13" spans="2:8" ht="11" thickBot="1" x14ac:dyDescent="0.35">
      <c r="B13" s="60" t="s">
        <v>55</v>
      </c>
      <c r="C13" s="55"/>
      <c r="D13" s="55"/>
      <c r="E13" s="157"/>
      <c r="F13" s="158"/>
    </row>
    <row r="14" spans="2:8" x14ac:dyDescent="0.3">
      <c r="B14" s="61" t="s">
        <v>49</v>
      </c>
      <c r="C14" s="65">
        <f>Payroll_Raw!S7</f>
        <v>442136.59999999992</v>
      </c>
      <c r="D14" s="161"/>
      <c r="E14" s="157"/>
      <c r="F14" s="158"/>
    </row>
    <row r="15" spans="2:8" x14ac:dyDescent="0.3">
      <c r="B15" s="62" t="s">
        <v>50</v>
      </c>
      <c r="C15" s="66">
        <f>Payroll_Raw!J7/12</f>
        <v>0</v>
      </c>
      <c r="D15" s="162"/>
      <c r="E15" s="157"/>
      <c r="F15" s="158"/>
    </row>
    <row r="16" spans="2:8" x14ac:dyDescent="0.3">
      <c r="B16" s="62" t="s">
        <v>51</v>
      </c>
      <c r="C16" s="66">
        <f>Payroll_Raw!K7/12</f>
        <v>0</v>
      </c>
      <c r="D16" s="162"/>
      <c r="E16" s="157"/>
      <c r="F16" s="158"/>
      <c r="H16" s="54"/>
    </row>
    <row r="17" spans="2:6" x14ac:dyDescent="0.3">
      <c r="B17" s="62" t="s">
        <v>66</v>
      </c>
      <c r="C17" s="66">
        <f>SUM(Payroll_Raw!L7:Q7)/12</f>
        <v>0</v>
      </c>
      <c r="D17" s="162"/>
      <c r="E17" s="157"/>
      <c r="F17" s="158"/>
    </row>
    <row r="18" spans="2:6" x14ac:dyDescent="0.3">
      <c r="B18" s="62"/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442136.59999999992</v>
      </c>
      <c r="D22" s="68">
        <f>C22</f>
        <v>442136.59999999992</v>
      </c>
      <c r="E22" s="157"/>
      <c r="F22" s="158"/>
    </row>
    <row r="23" spans="2:6" ht="11" thickBot="1" x14ac:dyDescent="0.35">
      <c r="B23" s="64" t="s">
        <v>56</v>
      </c>
      <c r="C23" s="69"/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>
        <f>PAYE!AC9</f>
        <v>56765.675690666656</v>
      </c>
      <c r="D31" s="161"/>
      <c r="E31" s="157"/>
      <c r="F31" s="158"/>
    </row>
    <row r="32" spans="2:6" x14ac:dyDescent="0.3">
      <c r="B32" s="62" t="s">
        <v>38</v>
      </c>
      <c r="C32" s="66">
        <f>PAYE!AE9</f>
        <v>35370.927999999993</v>
      </c>
      <c r="D32" s="162"/>
      <c r="E32" s="157"/>
      <c r="F32" s="158"/>
    </row>
    <row r="33" spans="2:6" x14ac:dyDescent="0.3">
      <c r="B33" s="62" t="s">
        <v>36</v>
      </c>
      <c r="C33" s="66"/>
      <c r="D33" s="162"/>
      <c r="E33" s="157"/>
      <c r="F33" s="158"/>
    </row>
    <row r="34" spans="2:6" ht="11" thickBot="1" x14ac:dyDescent="0.35">
      <c r="B34" s="63" t="s">
        <v>37</v>
      </c>
      <c r="C34" s="67"/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92136.603690666641</v>
      </c>
      <c r="D35" s="73">
        <f>-C35</f>
        <v>-92136.603690666641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349999.99630933325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F44"/>
  <sheetViews>
    <sheetView workbookViewId="0">
      <selection activeCell="I6" sqref="I6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9.179687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>
        <f>Payroll_Raw!D8</f>
        <v>0</v>
      </c>
      <c r="E3" s="168"/>
      <c r="F3" s="169"/>
    </row>
    <row r="4" spans="2:6" ht="11" thickBot="1" x14ac:dyDescent="0.35">
      <c r="B4" s="165"/>
      <c r="C4" s="64" t="s">
        <v>24</v>
      </c>
      <c r="D4" s="170">
        <f>Payroll_Raw!F8</f>
        <v>0</v>
      </c>
      <c r="E4" s="171"/>
      <c r="F4" s="160"/>
    </row>
    <row r="5" spans="2:6" ht="11" thickBot="1" x14ac:dyDescent="0.35">
      <c r="B5" s="165"/>
      <c r="C5" s="64" t="s">
        <v>28</v>
      </c>
      <c r="D5" s="159">
        <f>Payroll_Raw!E8</f>
        <v>0</v>
      </c>
      <c r="E5" s="171"/>
      <c r="F5" s="160"/>
    </row>
    <row r="6" spans="2:6" ht="11" thickBot="1" x14ac:dyDescent="0.35">
      <c r="B6" s="165"/>
      <c r="C6" s="64" t="s">
        <v>29</v>
      </c>
      <c r="D6" s="170">
        <f>Payroll_Raw!G8</f>
        <v>0</v>
      </c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>
        <v>2022</v>
      </c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>
        <f>Payroll_Raw!S8</f>
        <v>179663.99999999898</v>
      </c>
      <c r="D14" s="161"/>
      <c r="E14" s="157"/>
      <c r="F14" s="158"/>
    </row>
    <row r="15" spans="2:6" x14ac:dyDescent="0.3">
      <c r="B15" s="62" t="s">
        <v>50</v>
      </c>
      <c r="C15" s="66">
        <f>Payroll_Raw!J8/12</f>
        <v>0</v>
      </c>
      <c r="D15" s="162"/>
      <c r="E15" s="157"/>
      <c r="F15" s="158"/>
    </row>
    <row r="16" spans="2:6" x14ac:dyDescent="0.3">
      <c r="B16" s="62" t="s">
        <v>51</v>
      </c>
      <c r="C16" s="66">
        <f>Payroll_Raw!K8/12</f>
        <v>0</v>
      </c>
      <c r="D16" s="162"/>
      <c r="E16" s="157"/>
      <c r="F16" s="158"/>
    </row>
    <row r="17" spans="2:6" x14ac:dyDescent="0.3">
      <c r="B17" s="62" t="s">
        <v>66</v>
      </c>
      <c r="C17" s="66">
        <f>SUM(Payroll_Raw!L8:Q8)/12</f>
        <v>0</v>
      </c>
      <c r="D17" s="162"/>
      <c r="E17" s="157"/>
      <c r="F17" s="158"/>
    </row>
    <row r="18" spans="2:6" x14ac:dyDescent="0.3">
      <c r="B18" s="62"/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179663.99999999898</v>
      </c>
      <c r="D22" s="68">
        <f>C22</f>
        <v>179663.99999999898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>
        <f>PAYE!AC10</f>
        <v>7511.3631200000018</v>
      </c>
      <c r="D31" s="161"/>
      <c r="E31" s="157"/>
      <c r="F31" s="158"/>
    </row>
    <row r="32" spans="2:6" x14ac:dyDescent="0.3">
      <c r="B32" s="62" t="s">
        <v>38</v>
      </c>
      <c r="C32" s="66">
        <f>PAYE!AE10</f>
        <v>9428.5239999999994</v>
      </c>
      <c r="D32" s="162"/>
      <c r="E32" s="157"/>
      <c r="F32" s="158"/>
    </row>
    <row r="33" spans="2:6" x14ac:dyDescent="0.3">
      <c r="B33" s="62" t="s">
        <v>36</v>
      </c>
      <c r="C33" s="83" t="s">
        <v>57</v>
      </c>
      <c r="D33" s="162"/>
      <c r="E33" s="157"/>
      <c r="F33" s="158"/>
    </row>
    <row r="34" spans="2:6" ht="11" thickBot="1" x14ac:dyDescent="0.35">
      <c r="B34" s="63" t="s">
        <v>37</v>
      </c>
      <c r="C34" s="84" t="s">
        <v>57</v>
      </c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16939.887119999999</v>
      </c>
      <c r="D35" s="73">
        <f>-C35</f>
        <v>-16939.887119999999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162724.11287999898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  <pageSetup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F44"/>
  <sheetViews>
    <sheetView tabSelected="1" workbookViewId="0">
      <selection activeCell="I13" sqref="I13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>
        <f>Payroll_Raw!D9</f>
        <v>0</v>
      </c>
      <c r="E3" s="168"/>
      <c r="F3" s="169"/>
    </row>
    <row r="4" spans="2:6" ht="11" thickBot="1" x14ac:dyDescent="0.35">
      <c r="B4" s="165"/>
      <c r="C4" s="64" t="s">
        <v>24</v>
      </c>
      <c r="D4" s="170">
        <f>Payroll_Raw!F9</f>
        <v>0</v>
      </c>
      <c r="E4" s="171"/>
      <c r="F4" s="160"/>
    </row>
    <row r="5" spans="2:6" ht="11" thickBot="1" x14ac:dyDescent="0.35">
      <c r="B5" s="165"/>
      <c r="C5" s="64" t="s">
        <v>28</v>
      </c>
      <c r="D5" s="159">
        <f>Payroll_Raw!E9</f>
        <v>0</v>
      </c>
      <c r="E5" s="171"/>
      <c r="F5" s="160"/>
    </row>
    <row r="6" spans="2:6" ht="11" thickBot="1" x14ac:dyDescent="0.35">
      <c r="B6" s="165"/>
      <c r="C6" s="64" t="s">
        <v>29</v>
      </c>
      <c r="D6" s="170">
        <f>Payroll_Raw!G9</f>
        <v>0</v>
      </c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>
        <v>2022</v>
      </c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>
        <f>Payroll_Raw!S9</f>
        <v>244521.67</v>
      </c>
      <c r="D14" s="161"/>
      <c r="E14" s="157"/>
      <c r="F14" s="158"/>
    </row>
    <row r="15" spans="2:6" x14ac:dyDescent="0.3">
      <c r="B15" s="62" t="s">
        <v>50</v>
      </c>
      <c r="C15" s="66">
        <f>Payroll_Raw!J9/12</f>
        <v>0</v>
      </c>
      <c r="D15" s="162"/>
      <c r="E15" s="157"/>
      <c r="F15" s="158"/>
    </row>
    <row r="16" spans="2:6" x14ac:dyDescent="0.3">
      <c r="B16" s="62" t="s">
        <v>51</v>
      </c>
      <c r="C16" s="66">
        <f>Payroll_Raw!K9/12</f>
        <v>0</v>
      </c>
      <c r="D16" s="162"/>
      <c r="E16" s="157"/>
      <c r="F16" s="158"/>
    </row>
    <row r="17" spans="2:6" x14ac:dyDescent="0.3">
      <c r="B17" s="62" t="s">
        <v>66</v>
      </c>
      <c r="C17" s="66">
        <f>SUM(Payroll_Raw!L9:Q9)/12</f>
        <v>0</v>
      </c>
      <c r="D17" s="162"/>
      <c r="E17" s="157"/>
      <c r="F17" s="158"/>
    </row>
    <row r="18" spans="2:6" x14ac:dyDescent="0.3">
      <c r="B18" s="62"/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244521.67</v>
      </c>
      <c r="D22" s="68">
        <f>C22</f>
        <v>244521.67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>
        <f>PAYE!AC11</f>
        <v>24959.935981866667</v>
      </c>
      <c r="D31" s="161"/>
      <c r="E31" s="157"/>
      <c r="F31" s="158"/>
    </row>
    <row r="32" spans="2:6" x14ac:dyDescent="0.3">
      <c r="B32" s="62" t="s">
        <v>38</v>
      </c>
      <c r="C32" s="66">
        <f>PAYE!AE11</f>
        <v>19561.7336</v>
      </c>
      <c r="D32" s="162"/>
      <c r="E32" s="157"/>
      <c r="F32" s="158"/>
    </row>
    <row r="33" spans="2:6" x14ac:dyDescent="0.3">
      <c r="B33" s="62" t="s">
        <v>36</v>
      </c>
      <c r="C33" s="83" t="s">
        <v>57</v>
      </c>
      <c r="D33" s="162"/>
      <c r="E33" s="157"/>
      <c r="F33" s="158"/>
    </row>
    <row r="34" spans="2:6" ht="11" thickBot="1" x14ac:dyDescent="0.35">
      <c r="B34" s="63" t="s">
        <v>37</v>
      </c>
      <c r="C34" s="84" t="s">
        <v>57</v>
      </c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44521.669581866663</v>
      </c>
      <c r="D35" s="73">
        <f>-C35</f>
        <v>-44521.669581866663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200000.00041813334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30"/>
  <sheetViews>
    <sheetView zoomScale="70" zoomScaleNormal="70" workbookViewId="0">
      <pane xSplit="3" ySplit="6" topLeftCell="D7" activePane="bottomRight" state="frozen"/>
      <selection pane="topRight" activeCell="C1" sqref="C1"/>
      <selection pane="bottomLeft" activeCell="A8" sqref="A8"/>
      <selection pane="bottomRight" activeCell="B7" sqref="B7"/>
    </sheetView>
  </sheetViews>
  <sheetFormatPr defaultRowHeight="9" x14ac:dyDescent="0.2"/>
  <cols>
    <col min="1" max="2" width="8.7265625" style="122"/>
    <col min="3" max="3" width="6" style="122" bestFit="1" customWidth="1"/>
    <col min="4" max="4" width="4.36328125" style="122" bestFit="1" customWidth="1"/>
    <col min="5" max="5" width="8.54296875" style="122" bestFit="1" customWidth="1"/>
    <col min="6" max="6" width="6.54296875" style="122" bestFit="1" customWidth="1"/>
    <col min="7" max="7" width="9.54296875" style="122" bestFit="1" customWidth="1"/>
    <col min="8" max="8" width="1.90625" style="122" bestFit="1" customWidth="1"/>
    <col min="9" max="9" width="10.36328125" style="122" bestFit="1" customWidth="1"/>
    <col min="10" max="12" width="7.36328125" style="122" bestFit="1" customWidth="1"/>
    <col min="13" max="13" width="8.81640625" style="122" bestFit="1" customWidth="1"/>
    <col min="14" max="14" width="11.6328125" style="122" bestFit="1" customWidth="1"/>
    <col min="15" max="17" width="7.36328125" style="122" bestFit="1" customWidth="1"/>
    <col min="18" max="18" width="14.90625" style="152" bestFit="1" customWidth="1"/>
    <col min="19" max="19" width="15.453125" style="122" bestFit="1" customWidth="1"/>
    <col min="20" max="20" width="7.54296875" style="122" customWidth="1"/>
    <col min="21" max="21" width="13.26953125" style="122" customWidth="1"/>
    <col min="22" max="22" width="11.54296875" style="122" bestFit="1" customWidth="1"/>
    <col min="23" max="16384" width="8.7265625" style="122"/>
  </cols>
  <sheetData>
    <row r="1" spans="1:22" x14ac:dyDescent="0.2">
      <c r="C1" s="123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45"/>
      <c r="S1" s="124"/>
      <c r="T1" s="124"/>
    </row>
    <row r="2" spans="1:22" x14ac:dyDescent="0.2">
      <c r="C2" s="126"/>
      <c r="D2" s="124"/>
      <c r="E2" s="124"/>
      <c r="F2" s="124"/>
      <c r="G2" s="124"/>
      <c r="H2" s="124"/>
      <c r="I2" s="124"/>
      <c r="J2" s="124"/>
      <c r="K2" s="124"/>
      <c r="L2" s="124"/>
      <c r="M2" s="124"/>
      <c r="N2" s="124"/>
      <c r="O2" s="124"/>
      <c r="P2" s="124"/>
      <c r="Q2" s="124"/>
      <c r="R2" s="145"/>
      <c r="S2" s="124"/>
      <c r="T2" s="124"/>
    </row>
    <row r="3" spans="1:22" x14ac:dyDescent="0.2">
      <c r="C3" s="126"/>
      <c r="D3" s="124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45"/>
      <c r="S3" s="124"/>
      <c r="T3" s="124"/>
    </row>
    <row r="4" spans="1:22" x14ac:dyDescent="0.2">
      <c r="C4" s="142"/>
      <c r="D4" s="142"/>
      <c r="E4" s="142"/>
      <c r="F4" s="142"/>
      <c r="G4" s="142"/>
      <c r="H4" s="142"/>
      <c r="I4" s="172" t="s">
        <v>70</v>
      </c>
      <c r="J4" s="172"/>
      <c r="K4" s="172"/>
      <c r="L4" s="172"/>
      <c r="M4" s="172"/>
      <c r="N4" s="172"/>
      <c r="O4" s="172"/>
      <c r="P4" s="172"/>
      <c r="Q4" s="172"/>
      <c r="R4" s="172"/>
      <c r="S4" s="172"/>
      <c r="T4" s="124"/>
    </row>
    <row r="5" spans="1:22" s="140" customFormat="1" x14ac:dyDescent="0.2">
      <c r="C5" s="143" t="s">
        <v>3</v>
      </c>
      <c r="D5" s="144" t="s">
        <v>0</v>
      </c>
      <c r="E5" s="141" t="s">
        <v>65</v>
      </c>
      <c r="F5" s="144" t="s">
        <v>24</v>
      </c>
      <c r="G5" s="144" t="s">
        <v>21</v>
      </c>
      <c r="H5" s="141"/>
      <c r="I5" s="141" t="s">
        <v>69</v>
      </c>
      <c r="J5" s="141"/>
      <c r="K5" s="141"/>
      <c r="L5" s="141"/>
      <c r="M5" s="141"/>
      <c r="N5" s="141"/>
      <c r="O5" s="141"/>
      <c r="P5" s="141"/>
      <c r="Q5" s="141"/>
      <c r="R5" s="146" t="s">
        <v>67</v>
      </c>
      <c r="S5" s="141" t="s">
        <v>68</v>
      </c>
      <c r="T5" s="153"/>
      <c r="U5" s="127"/>
      <c r="V5" s="127"/>
    </row>
    <row r="6" spans="1:22" x14ac:dyDescent="0.2">
      <c r="C6" s="128"/>
      <c r="D6" s="129"/>
      <c r="E6" s="129"/>
      <c r="F6" s="129"/>
      <c r="G6" s="130"/>
      <c r="H6" s="130"/>
      <c r="I6" s="131" t="s">
        <v>2</v>
      </c>
      <c r="J6" s="131" t="s">
        <v>2</v>
      </c>
      <c r="K6" s="131" t="s">
        <v>2</v>
      </c>
      <c r="L6" s="131" t="s">
        <v>2</v>
      </c>
      <c r="M6" s="131" t="s">
        <v>2</v>
      </c>
      <c r="N6" s="131" t="s">
        <v>2</v>
      </c>
      <c r="O6" s="131" t="s">
        <v>2</v>
      </c>
      <c r="P6" s="131" t="s">
        <v>2</v>
      </c>
      <c r="Q6" s="131" t="s">
        <v>2</v>
      </c>
      <c r="R6" s="147" t="s">
        <v>2</v>
      </c>
      <c r="S6" s="131" t="s">
        <v>2</v>
      </c>
      <c r="T6" s="130"/>
      <c r="U6" s="127"/>
      <c r="V6" s="132"/>
    </row>
    <row r="7" spans="1:22" x14ac:dyDescent="0.2">
      <c r="A7" s="139">
        <f>PAYE!AA9-350000</f>
        <v>-3.6906666937284172E-3</v>
      </c>
      <c r="B7" s="154">
        <v>442136.6</v>
      </c>
      <c r="C7" s="133">
        <v>1</v>
      </c>
      <c r="D7" s="134"/>
      <c r="E7" s="134"/>
      <c r="F7" s="134"/>
      <c r="G7" s="133"/>
      <c r="H7" s="133">
        <v>12</v>
      </c>
      <c r="I7" s="135">
        <f>B7*H7</f>
        <v>5305639.1999999993</v>
      </c>
      <c r="J7" s="135"/>
      <c r="K7" s="135"/>
      <c r="L7" s="135"/>
      <c r="M7" s="135"/>
      <c r="N7" s="135"/>
      <c r="O7" s="135"/>
      <c r="P7" s="135"/>
      <c r="Q7" s="135"/>
      <c r="R7" s="148">
        <f>B7*H7</f>
        <v>5305639.1999999993</v>
      </c>
      <c r="S7" s="135">
        <f>R7/H7</f>
        <v>442136.59999999992</v>
      </c>
      <c r="T7" s="135"/>
      <c r="U7" s="125"/>
      <c r="V7" s="125"/>
    </row>
    <row r="8" spans="1:22" x14ac:dyDescent="0.2">
      <c r="A8" s="139">
        <f>PAYE!AA10-150000</f>
        <v>-49083.337119999982</v>
      </c>
      <c r="B8" s="154">
        <v>179663.99999999901</v>
      </c>
      <c r="C8" s="133">
        <v>2</v>
      </c>
      <c r="D8" s="134"/>
      <c r="E8" s="134"/>
      <c r="F8" s="134"/>
      <c r="G8" s="133"/>
      <c r="H8" s="133">
        <v>12</v>
      </c>
      <c r="I8" s="135"/>
      <c r="J8" s="135"/>
      <c r="K8" s="135"/>
      <c r="L8" s="135"/>
      <c r="M8" s="135"/>
      <c r="N8" s="135"/>
      <c r="O8" s="135"/>
      <c r="P8" s="135"/>
      <c r="Q8" s="135"/>
      <c r="R8" s="148">
        <f t="shared" ref="R8:R10" si="0">B8*H8</f>
        <v>2155967.9999999879</v>
      </c>
      <c r="S8" s="135">
        <f t="shared" ref="S8:S10" si="1">R8/H8</f>
        <v>179663.99999999898</v>
      </c>
      <c r="T8" s="135"/>
      <c r="U8" s="125"/>
      <c r="V8" s="125"/>
    </row>
    <row r="9" spans="1:22" x14ac:dyDescent="0.2">
      <c r="A9" s="139">
        <f>PAYE!AA11-200000</f>
        <v>4.181333351880312E-4</v>
      </c>
      <c r="B9" s="154">
        <v>244521.67</v>
      </c>
      <c r="C9" s="133">
        <v>3</v>
      </c>
      <c r="D9" s="134"/>
      <c r="E9" s="134"/>
      <c r="F9" s="134"/>
      <c r="G9" s="133"/>
      <c r="H9" s="133">
        <v>12</v>
      </c>
      <c r="I9" s="135"/>
      <c r="J9" s="135"/>
      <c r="K9" s="135"/>
      <c r="L9" s="135"/>
      <c r="M9" s="135"/>
      <c r="N9" s="135"/>
      <c r="O9" s="135"/>
      <c r="P9" s="135"/>
      <c r="Q9" s="135"/>
      <c r="R9" s="148">
        <f t="shared" si="0"/>
        <v>2934260.04</v>
      </c>
      <c r="S9" s="135">
        <f t="shared" si="1"/>
        <v>244521.67</v>
      </c>
      <c r="T9" s="135"/>
      <c r="U9" s="125"/>
      <c r="V9" s="125"/>
    </row>
    <row r="10" spans="1:22" x14ac:dyDescent="0.2">
      <c r="B10" s="139"/>
      <c r="C10" s="133">
        <v>4</v>
      </c>
      <c r="D10" s="134"/>
      <c r="E10" s="134"/>
      <c r="F10" s="134"/>
      <c r="G10" s="133"/>
      <c r="H10" s="133">
        <v>12</v>
      </c>
      <c r="I10" s="135"/>
      <c r="J10" s="135"/>
      <c r="K10" s="135"/>
      <c r="L10" s="135"/>
      <c r="M10" s="135"/>
      <c r="N10" s="135"/>
      <c r="O10" s="135"/>
      <c r="P10" s="135"/>
      <c r="Q10" s="135"/>
      <c r="R10" s="148">
        <f t="shared" si="0"/>
        <v>0</v>
      </c>
      <c r="S10" s="135">
        <f t="shared" si="1"/>
        <v>0</v>
      </c>
      <c r="T10" s="135"/>
    </row>
    <row r="11" spans="1:22" x14ac:dyDescent="0.2">
      <c r="C11" s="133">
        <v>5</v>
      </c>
      <c r="D11" s="134"/>
      <c r="E11" s="134"/>
      <c r="F11" s="134"/>
      <c r="G11" s="133"/>
      <c r="H11" s="133"/>
      <c r="I11" s="133"/>
      <c r="J11" s="133"/>
      <c r="K11" s="133"/>
      <c r="L11" s="133"/>
      <c r="M11" s="133"/>
      <c r="N11" s="133"/>
      <c r="O11" s="133"/>
      <c r="P11" s="133"/>
      <c r="Q11" s="133"/>
      <c r="R11" s="149"/>
      <c r="S11" s="133"/>
      <c r="T11" s="133"/>
    </row>
    <row r="12" spans="1:22" x14ac:dyDescent="0.2">
      <c r="C12" s="133">
        <v>6</v>
      </c>
      <c r="D12" s="134"/>
      <c r="E12" s="134"/>
      <c r="F12" s="134"/>
      <c r="G12" s="133"/>
      <c r="H12" s="133"/>
      <c r="I12" s="133"/>
      <c r="J12" s="133"/>
      <c r="K12" s="133"/>
      <c r="L12" s="133"/>
      <c r="M12" s="133"/>
      <c r="N12" s="133"/>
      <c r="O12" s="133"/>
      <c r="P12" s="133"/>
      <c r="Q12" s="133"/>
      <c r="R12" s="149"/>
      <c r="S12" s="133"/>
      <c r="T12" s="133"/>
    </row>
    <row r="13" spans="1:22" x14ac:dyDescent="0.2">
      <c r="C13" s="133">
        <v>7</v>
      </c>
      <c r="D13" s="134"/>
      <c r="E13" s="134"/>
      <c r="F13" s="134"/>
      <c r="G13" s="133"/>
      <c r="H13" s="133"/>
      <c r="I13" s="133"/>
      <c r="J13" s="133"/>
      <c r="K13" s="133"/>
      <c r="L13" s="133"/>
      <c r="M13" s="133"/>
      <c r="N13" s="133"/>
      <c r="O13" s="133"/>
      <c r="P13" s="133"/>
      <c r="Q13" s="133"/>
      <c r="R13" s="149"/>
      <c r="S13" s="133"/>
      <c r="T13" s="133"/>
    </row>
    <row r="14" spans="1:22" x14ac:dyDescent="0.2">
      <c r="C14" s="133">
        <v>8</v>
      </c>
      <c r="D14" s="134"/>
      <c r="E14" s="134"/>
      <c r="F14" s="134"/>
      <c r="G14" s="133"/>
      <c r="H14" s="133"/>
      <c r="I14" s="133"/>
      <c r="J14" s="133"/>
      <c r="K14" s="133"/>
      <c r="L14" s="133"/>
      <c r="M14" s="133"/>
      <c r="N14" s="133"/>
      <c r="O14" s="133"/>
      <c r="P14" s="133"/>
      <c r="Q14" s="133"/>
      <c r="R14" s="149"/>
      <c r="S14" s="133"/>
      <c r="T14" s="133"/>
    </row>
    <row r="15" spans="1:22" x14ac:dyDescent="0.2">
      <c r="C15" s="133">
        <v>9</v>
      </c>
      <c r="D15" s="134"/>
      <c r="E15" s="134"/>
      <c r="F15" s="134"/>
      <c r="G15" s="133"/>
      <c r="H15" s="133"/>
      <c r="I15" s="133"/>
      <c r="J15" s="133"/>
      <c r="K15" s="133"/>
      <c r="L15" s="133"/>
      <c r="M15" s="133"/>
      <c r="N15" s="133"/>
      <c r="O15" s="133"/>
      <c r="P15" s="133"/>
      <c r="Q15" s="133"/>
      <c r="R15" s="149"/>
      <c r="S15" s="133"/>
      <c r="T15" s="133"/>
    </row>
    <row r="16" spans="1:22" x14ac:dyDescent="0.2">
      <c r="C16" s="133">
        <v>10</v>
      </c>
      <c r="D16" s="134"/>
      <c r="E16" s="134"/>
      <c r="F16" s="134"/>
      <c r="G16" s="133"/>
      <c r="H16" s="133"/>
      <c r="I16" s="133"/>
      <c r="J16" s="133"/>
      <c r="K16" s="133"/>
      <c r="L16" s="133"/>
      <c r="M16" s="133"/>
      <c r="N16" s="133"/>
      <c r="O16" s="133"/>
      <c r="P16" s="133"/>
      <c r="Q16" s="133"/>
      <c r="R16" s="149"/>
      <c r="S16" s="133"/>
      <c r="T16" s="133"/>
    </row>
    <row r="17" spans="3:20" x14ac:dyDescent="0.2">
      <c r="C17" s="133">
        <v>11</v>
      </c>
      <c r="D17" s="134"/>
      <c r="E17" s="134"/>
      <c r="F17" s="134"/>
      <c r="G17" s="133"/>
      <c r="H17" s="133"/>
      <c r="I17" s="133"/>
      <c r="J17" s="133"/>
      <c r="K17" s="133"/>
      <c r="L17" s="133"/>
      <c r="M17" s="133"/>
      <c r="N17" s="133"/>
      <c r="O17" s="133"/>
      <c r="P17" s="133"/>
      <c r="Q17" s="133"/>
      <c r="R17" s="149"/>
      <c r="S17" s="133"/>
      <c r="T17" s="133"/>
    </row>
    <row r="18" spans="3:20" x14ac:dyDescent="0.2">
      <c r="C18" s="133">
        <v>12</v>
      </c>
      <c r="D18" s="134"/>
      <c r="E18" s="134"/>
      <c r="F18" s="134"/>
      <c r="G18" s="133"/>
      <c r="H18" s="133"/>
      <c r="I18" s="133"/>
      <c r="J18" s="133"/>
      <c r="K18" s="133"/>
      <c r="L18" s="133"/>
      <c r="M18" s="133"/>
      <c r="N18" s="133"/>
      <c r="O18" s="133"/>
      <c r="P18" s="133"/>
      <c r="Q18" s="133"/>
      <c r="R18" s="149"/>
      <c r="S18" s="133"/>
      <c r="T18" s="133"/>
    </row>
    <row r="19" spans="3:20" x14ac:dyDescent="0.2">
      <c r="C19" s="133">
        <v>13</v>
      </c>
      <c r="D19" s="134"/>
      <c r="E19" s="134"/>
      <c r="F19" s="134"/>
      <c r="G19" s="133"/>
      <c r="H19" s="133"/>
      <c r="I19" s="133"/>
      <c r="J19" s="133"/>
      <c r="K19" s="133"/>
      <c r="L19" s="133"/>
      <c r="M19" s="133"/>
      <c r="N19" s="133"/>
      <c r="O19" s="133"/>
      <c r="P19" s="133"/>
      <c r="Q19" s="133"/>
      <c r="R19" s="149"/>
      <c r="S19" s="133"/>
      <c r="T19" s="133"/>
    </row>
    <row r="20" spans="3:20" x14ac:dyDescent="0.2">
      <c r="C20" s="136">
        <v>14</v>
      </c>
      <c r="D20" s="134"/>
      <c r="E20" s="134"/>
      <c r="F20" s="134"/>
      <c r="G20" s="136"/>
      <c r="H20" s="136"/>
      <c r="I20" s="136"/>
      <c r="J20" s="136"/>
      <c r="K20" s="136"/>
      <c r="L20" s="136"/>
      <c r="M20" s="136"/>
      <c r="N20" s="136"/>
      <c r="O20" s="136"/>
      <c r="P20" s="136"/>
      <c r="Q20" s="136"/>
      <c r="R20" s="150"/>
      <c r="S20" s="136"/>
      <c r="T20" s="136"/>
    </row>
    <row r="21" spans="3:20" x14ac:dyDescent="0.2">
      <c r="C21" s="136">
        <v>14</v>
      </c>
      <c r="D21" s="134"/>
      <c r="E21" s="134"/>
      <c r="F21" s="134"/>
      <c r="G21" s="136"/>
      <c r="H21" s="136"/>
      <c r="I21" s="136"/>
      <c r="J21" s="136"/>
      <c r="K21" s="136"/>
      <c r="L21" s="136"/>
      <c r="M21" s="136"/>
      <c r="N21" s="136"/>
      <c r="O21" s="136"/>
      <c r="P21" s="136"/>
      <c r="Q21" s="136"/>
      <c r="R21" s="150"/>
      <c r="S21" s="136"/>
      <c r="T21" s="136"/>
    </row>
    <row r="22" spans="3:20" x14ac:dyDescent="0.2">
      <c r="C22" s="133">
        <v>16</v>
      </c>
      <c r="D22" s="134"/>
      <c r="E22" s="134"/>
      <c r="F22" s="134"/>
      <c r="G22" s="133"/>
      <c r="H22" s="133"/>
      <c r="I22" s="133"/>
      <c r="J22" s="133"/>
      <c r="K22" s="133"/>
      <c r="L22" s="133"/>
      <c r="M22" s="133"/>
      <c r="N22" s="133"/>
      <c r="O22" s="133"/>
      <c r="P22" s="133"/>
      <c r="Q22" s="133"/>
      <c r="R22" s="149"/>
      <c r="S22" s="133"/>
      <c r="T22" s="133"/>
    </row>
    <row r="23" spans="3:20" x14ac:dyDescent="0.2">
      <c r="C23" s="133">
        <v>17</v>
      </c>
      <c r="D23" s="134"/>
      <c r="E23" s="134"/>
      <c r="F23" s="134"/>
      <c r="G23" s="133"/>
      <c r="H23" s="133"/>
      <c r="I23" s="133"/>
      <c r="J23" s="133"/>
      <c r="K23" s="133"/>
      <c r="L23" s="133"/>
      <c r="M23" s="133"/>
      <c r="N23" s="133"/>
      <c r="O23" s="133"/>
      <c r="P23" s="133"/>
      <c r="Q23" s="133"/>
      <c r="R23" s="149"/>
      <c r="S23" s="133"/>
      <c r="T23" s="133"/>
    </row>
    <row r="24" spans="3:20" x14ac:dyDescent="0.2">
      <c r="C24" s="133">
        <v>18</v>
      </c>
      <c r="D24" s="134"/>
      <c r="E24" s="134"/>
      <c r="F24" s="134"/>
      <c r="G24" s="133"/>
      <c r="H24" s="133"/>
      <c r="I24" s="133"/>
      <c r="J24" s="133"/>
      <c r="K24" s="133"/>
      <c r="L24" s="133"/>
      <c r="M24" s="133"/>
      <c r="N24" s="133"/>
      <c r="O24" s="133"/>
      <c r="P24" s="133"/>
      <c r="Q24" s="133"/>
      <c r="R24" s="149"/>
      <c r="S24" s="133"/>
      <c r="T24" s="133"/>
    </row>
    <row r="25" spans="3:20" x14ac:dyDescent="0.2">
      <c r="C25" s="133">
        <v>19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49"/>
      <c r="S25" s="133"/>
      <c r="T25" s="133"/>
    </row>
    <row r="26" spans="3:20" x14ac:dyDescent="0.2">
      <c r="C26" s="136">
        <v>20</v>
      </c>
      <c r="D26" s="137"/>
      <c r="E26" s="137"/>
      <c r="F26" s="137"/>
      <c r="G26" s="137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49"/>
      <c r="S26" s="133"/>
      <c r="T26" s="133"/>
    </row>
    <row r="27" spans="3:20" x14ac:dyDescent="0.2">
      <c r="C27" s="136">
        <v>21</v>
      </c>
      <c r="D27" s="137"/>
      <c r="E27" s="137"/>
      <c r="F27" s="137"/>
      <c r="G27" s="137"/>
      <c r="H27" s="133"/>
      <c r="I27" s="133"/>
      <c r="J27" s="133"/>
      <c r="K27" s="133"/>
      <c r="L27" s="133"/>
      <c r="M27" s="133"/>
      <c r="N27" s="133"/>
      <c r="O27" s="133"/>
      <c r="P27" s="133"/>
      <c r="Q27" s="133"/>
      <c r="R27" s="149"/>
      <c r="S27" s="133"/>
      <c r="T27" s="133"/>
    </row>
    <row r="28" spans="3:20" x14ac:dyDescent="0.2">
      <c r="C28" s="133">
        <v>22</v>
      </c>
      <c r="D28" s="138"/>
      <c r="E28" s="138"/>
      <c r="F28" s="138"/>
      <c r="G28" s="133"/>
      <c r="H28" s="133"/>
      <c r="I28" s="133"/>
      <c r="J28" s="133"/>
      <c r="K28" s="133"/>
      <c r="L28" s="133"/>
      <c r="M28" s="133"/>
      <c r="N28" s="133"/>
      <c r="O28" s="133"/>
      <c r="P28" s="133"/>
      <c r="Q28" s="133"/>
      <c r="R28" s="149"/>
      <c r="S28" s="133"/>
      <c r="T28" s="133"/>
    </row>
    <row r="29" spans="3:20" x14ac:dyDescent="0.2">
      <c r="C29" s="133">
        <v>23</v>
      </c>
      <c r="D29" s="133"/>
      <c r="E29" s="133"/>
      <c r="F29" s="133"/>
      <c r="G29" s="133"/>
      <c r="H29" s="133"/>
      <c r="I29" s="133"/>
      <c r="J29" s="133"/>
      <c r="K29" s="133"/>
      <c r="L29" s="133"/>
      <c r="M29" s="133"/>
      <c r="N29" s="133"/>
      <c r="O29" s="133"/>
      <c r="P29" s="133"/>
      <c r="Q29" s="133"/>
      <c r="R29" s="149"/>
      <c r="S29" s="133"/>
      <c r="T29" s="133"/>
    </row>
    <row r="30" spans="3:20" x14ac:dyDescent="0.2">
      <c r="C30" s="133"/>
      <c r="D30" s="134"/>
      <c r="E30" s="134"/>
      <c r="F30" s="134"/>
      <c r="G30" s="134"/>
      <c r="H30" s="134"/>
      <c r="I30" s="134"/>
      <c r="J30" s="134"/>
      <c r="K30" s="134"/>
      <c r="L30" s="134"/>
      <c r="M30" s="134"/>
      <c r="N30" s="134"/>
      <c r="O30" s="134"/>
      <c r="P30" s="134"/>
      <c r="Q30" s="134"/>
      <c r="R30" s="151"/>
      <c r="S30" s="134"/>
      <c r="T30" s="134"/>
    </row>
  </sheetData>
  <mergeCells count="1">
    <mergeCell ref="I4:S4"/>
  </mergeCells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L41"/>
  <sheetViews>
    <sheetView topLeftCell="C1" zoomScale="80" zoomScaleNormal="80" workbookViewId="0">
      <selection activeCell="I9" sqref="I9"/>
    </sheetView>
  </sheetViews>
  <sheetFormatPr defaultColWidth="9.1796875" defaultRowHeight="10.5" x14ac:dyDescent="0.3"/>
  <cols>
    <col min="1" max="1" width="9.1796875" style="2"/>
    <col min="2" max="2" width="4" style="75" bestFit="1" customWidth="1"/>
    <col min="3" max="3" width="10.81640625" style="2" customWidth="1"/>
    <col min="4" max="4" width="23.81640625" style="2" bestFit="1" customWidth="1"/>
    <col min="5" max="5" width="16.7265625" style="2" bestFit="1" customWidth="1"/>
    <col min="6" max="6" width="14.81640625" style="2" customWidth="1"/>
    <col min="7" max="7" width="11.54296875" style="2" bestFit="1" customWidth="1"/>
    <col min="8" max="8" width="11.1796875" style="2" customWidth="1"/>
    <col min="9" max="9" width="13.90625" style="2" customWidth="1"/>
    <col min="10" max="10" width="13.54296875" style="2" bestFit="1" customWidth="1"/>
    <col min="11" max="11" width="15.453125" style="2" bestFit="1" customWidth="1"/>
    <col min="12" max="12" width="2.7265625" style="2" bestFit="1" customWidth="1"/>
    <col min="13" max="13" width="5.453125" style="2" bestFit="1" customWidth="1"/>
    <col min="14" max="14" width="2.81640625" style="2" bestFit="1" customWidth="1"/>
    <col min="15" max="15" width="8.08984375" style="2" bestFit="1" customWidth="1"/>
    <col min="16" max="16" width="3.1796875" style="2" bestFit="1" customWidth="1"/>
    <col min="17" max="17" width="8.6328125" style="2" bestFit="1" customWidth="1"/>
    <col min="18" max="18" width="4" style="2" bestFit="1" customWidth="1"/>
    <col min="19" max="19" width="8.7265625" style="2" bestFit="1" customWidth="1"/>
    <col min="20" max="20" width="3.1796875" style="11" bestFit="1" customWidth="1"/>
    <col min="21" max="21" width="8.54296875" style="2" bestFit="1" customWidth="1"/>
    <col min="22" max="22" width="4.26953125" style="11" bestFit="1" customWidth="1"/>
    <col min="23" max="23" width="9.26953125" style="2" bestFit="1" customWidth="1"/>
    <col min="24" max="24" width="12.1796875" style="28" bestFit="1" customWidth="1"/>
    <col min="25" max="25" width="11.1796875" style="4" bestFit="1" customWidth="1"/>
    <col min="26" max="26" width="9.6328125" style="2" bestFit="1" customWidth="1"/>
    <col min="27" max="27" width="11" style="4" bestFit="1" customWidth="1"/>
    <col min="28" max="28" width="9.08984375" style="2" bestFit="1" customWidth="1"/>
    <col min="29" max="29" width="8.08984375" style="2" bestFit="1" customWidth="1"/>
    <col min="30" max="30" width="8.81640625" style="2" bestFit="1" customWidth="1"/>
    <col min="31" max="31" width="8.08984375" style="2" bestFit="1" customWidth="1"/>
    <col min="32" max="32" width="8.81640625" style="2" bestFit="1" customWidth="1"/>
    <col min="33" max="33" width="8.08984375" style="2" bestFit="1" customWidth="1"/>
    <col min="34" max="34" width="8.81640625" style="2" bestFit="1" customWidth="1"/>
    <col min="35" max="35" width="8.08984375" style="2" bestFit="1" customWidth="1"/>
    <col min="36" max="16384" width="9.1796875" style="2"/>
  </cols>
  <sheetData>
    <row r="2" spans="1:38" x14ac:dyDescent="0.3">
      <c r="B2" s="87" t="s">
        <v>59</v>
      </c>
      <c r="C2" s="1"/>
    </row>
    <row r="3" spans="1:38" x14ac:dyDescent="0.3">
      <c r="O3" s="54"/>
    </row>
    <row r="4" spans="1:38" ht="19.5" customHeight="1" thickBot="1" x14ac:dyDescent="0.35">
      <c r="G4" s="4"/>
      <c r="K4" s="54"/>
      <c r="O4" s="54"/>
      <c r="AD4" s="86"/>
      <c r="AF4" s="86"/>
    </row>
    <row r="5" spans="1:38" ht="28.5" customHeight="1" thickBot="1" x14ac:dyDescent="0.35">
      <c r="F5" s="54">
        <f>F9/12</f>
        <v>442136.59999999992</v>
      </c>
      <c r="K5" s="54"/>
      <c r="L5" s="195" t="s">
        <v>8</v>
      </c>
      <c r="M5" s="196"/>
      <c r="N5" s="196"/>
      <c r="O5" s="196"/>
      <c r="P5" s="196"/>
      <c r="Q5" s="196"/>
      <c r="R5" s="196"/>
      <c r="S5" s="196"/>
      <c r="T5" s="196"/>
      <c r="U5" s="196"/>
      <c r="V5" s="196"/>
      <c r="W5" s="197"/>
      <c r="X5" s="198" t="s">
        <v>20</v>
      </c>
      <c r="Y5" s="199"/>
      <c r="Z5" s="185" t="s">
        <v>22</v>
      </c>
      <c r="AA5" s="186"/>
      <c r="AB5" s="185" t="s">
        <v>35</v>
      </c>
      <c r="AC5" s="186"/>
      <c r="AD5" s="187" t="s">
        <v>60</v>
      </c>
      <c r="AE5" s="189"/>
      <c r="AF5" s="187" t="s">
        <v>61</v>
      </c>
      <c r="AG5" s="189"/>
      <c r="AH5" s="187" t="s">
        <v>62</v>
      </c>
      <c r="AI5" s="188"/>
      <c r="AJ5" s="54"/>
      <c r="AK5" s="54"/>
      <c r="AL5" s="54"/>
    </row>
    <row r="6" spans="1:38" ht="36" customHeight="1" thickBot="1" x14ac:dyDescent="0.35">
      <c r="B6" s="173" t="s">
        <v>3</v>
      </c>
      <c r="C6" s="79"/>
      <c r="D6" s="51" t="s">
        <v>0</v>
      </c>
      <c r="E6" s="51"/>
      <c r="F6" s="175" t="s">
        <v>17</v>
      </c>
      <c r="G6" s="81" t="s">
        <v>4</v>
      </c>
      <c r="H6" s="190" t="s">
        <v>58</v>
      </c>
      <c r="I6" s="177" t="s">
        <v>7</v>
      </c>
      <c r="J6" s="12" t="s">
        <v>5</v>
      </c>
      <c r="K6" s="36" t="s">
        <v>6</v>
      </c>
      <c r="L6" s="179" t="s">
        <v>14</v>
      </c>
      <c r="M6" s="180"/>
      <c r="N6" s="180" t="s">
        <v>15</v>
      </c>
      <c r="O6" s="183"/>
      <c r="P6" s="192" t="s">
        <v>11</v>
      </c>
      <c r="Q6" s="183"/>
      <c r="R6" s="192" t="s">
        <v>11</v>
      </c>
      <c r="S6" s="183"/>
      <c r="T6" s="192" t="s">
        <v>12</v>
      </c>
      <c r="U6" s="183"/>
      <c r="V6" s="192" t="s">
        <v>13</v>
      </c>
      <c r="W6" s="183"/>
      <c r="X6" s="49" t="s">
        <v>16</v>
      </c>
      <c r="Y6" s="88" t="s">
        <v>19</v>
      </c>
      <c r="Z6" s="101" t="s">
        <v>63</v>
      </c>
      <c r="AA6" s="118" t="s">
        <v>64</v>
      </c>
      <c r="AB6" s="101" t="s">
        <v>63</v>
      </c>
      <c r="AC6" s="118" t="s">
        <v>64</v>
      </c>
      <c r="AD6" s="101" t="s">
        <v>63</v>
      </c>
      <c r="AE6" s="118" t="s">
        <v>64</v>
      </c>
      <c r="AF6" s="101" t="s">
        <v>63</v>
      </c>
      <c r="AG6" s="118" t="s">
        <v>64</v>
      </c>
      <c r="AH6" s="101" t="s">
        <v>63</v>
      </c>
      <c r="AI6" s="119" t="s">
        <v>64</v>
      </c>
    </row>
    <row r="7" spans="1:38" ht="11" thickBot="1" x14ac:dyDescent="0.35">
      <c r="B7" s="174"/>
      <c r="C7" s="80"/>
      <c r="D7" s="52"/>
      <c r="E7" s="52"/>
      <c r="F7" s="176"/>
      <c r="G7" s="7" t="s">
        <v>1</v>
      </c>
      <c r="H7" s="191"/>
      <c r="I7" s="178"/>
      <c r="J7" s="46"/>
      <c r="K7" s="47"/>
      <c r="L7" s="181"/>
      <c r="M7" s="182"/>
      <c r="N7" s="182"/>
      <c r="O7" s="184"/>
      <c r="P7" s="193"/>
      <c r="Q7" s="184"/>
      <c r="R7" s="193"/>
      <c r="S7" s="184"/>
      <c r="T7" s="193"/>
      <c r="U7" s="184"/>
      <c r="V7" s="193"/>
      <c r="W7" s="194"/>
      <c r="X7" s="33">
        <v>0.01</v>
      </c>
      <c r="Y7" s="89"/>
      <c r="Z7" s="45"/>
      <c r="AA7" s="99"/>
      <c r="AB7" s="98"/>
      <c r="AC7" s="98"/>
      <c r="AD7" s="98"/>
      <c r="AE7" s="98"/>
      <c r="AF7" s="98"/>
      <c r="AG7" s="98"/>
      <c r="AH7" s="102"/>
      <c r="AI7" s="100"/>
    </row>
    <row r="8" spans="1:38" x14ac:dyDescent="0.3">
      <c r="B8" s="76"/>
      <c r="C8" s="44"/>
      <c r="D8" s="45"/>
      <c r="E8" s="44"/>
      <c r="F8" s="44"/>
      <c r="G8" s="8" t="s">
        <v>2</v>
      </c>
      <c r="H8" s="14" t="s">
        <v>2</v>
      </c>
      <c r="I8" s="14" t="s">
        <v>2</v>
      </c>
      <c r="J8" s="8" t="s">
        <v>2</v>
      </c>
      <c r="K8" s="13" t="s">
        <v>2</v>
      </c>
      <c r="L8" s="23" t="s">
        <v>18</v>
      </c>
      <c r="M8" s="24" t="s">
        <v>2</v>
      </c>
      <c r="N8" s="24" t="s">
        <v>18</v>
      </c>
      <c r="O8" s="25" t="s">
        <v>2</v>
      </c>
      <c r="P8" s="26" t="s">
        <v>18</v>
      </c>
      <c r="Q8" s="25" t="s">
        <v>2</v>
      </c>
      <c r="R8" s="26" t="s">
        <v>18</v>
      </c>
      <c r="S8" s="25" t="s">
        <v>2</v>
      </c>
      <c r="T8" s="27" t="s">
        <v>18</v>
      </c>
      <c r="U8" s="25" t="s">
        <v>2</v>
      </c>
      <c r="V8" s="27" t="s">
        <v>18</v>
      </c>
      <c r="W8" s="29" t="s">
        <v>2</v>
      </c>
      <c r="X8" s="32" t="s">
        <v>2</v>
      </c>
      <c r="Y8" s="120" t="s">
        <v>2</v>
      </c>
      <c r="Z8" s="94"/>
      <c r="AA8" s="85"/>
      <c r="AB8" s="91"/>
      <c r="AC8" s="91"/>
      <c r="AD8" s="91"/>
      <c r="AE8" s="91"/>
      <c r="AF8" s="91"/>
      <c r="AG8" s="91"/>
      <c r="AH8" s="103"/>
      <c r="AI8" s="95"/>
    </row>
    <row r="9" spans="1:38" x14ac:dyDescent="0.3">
      <c r="A9" s="54"/>
      <c r="B9" s="77">
        <v>1</v>
      </c>
      <c r="C9" s="53"/>
      <c r="D9" s="48">
        <f>Payroll_Raw!D7</f>
        <v>0</v>
      </c>
      <c r="E9" s="48">
        <f>Payroll_Raw!G48</f>
        <v>0</v>
      </c>
      <c r="F9" s="40">
        <f>Payroll_Raw!R7</f>
        <v>5305639.1999999993</v>
      </c>
      <c r="G9" s="38">
        <f>Payroll_Raw!S7*8/100*12</f>
        <v>424451.13599999994</v>
      </c>
      <c r="H9" s="34">
        <f>F9-G9</f>
        <v>4881188.0639999993</v>
      </c>
      <c r="I9" s="39">
        <f>(20%*H9)+200000</f>
        <v>1176237.6127999998</v>
      </c>
      <c r="J9" s="35">
        <f>SUM(I9:I9)</f>
        <v>1176237.6127999998</v>
      </c>
      <c r="K9" s="37">
        <f>H9-J9</f>
        <v>3704950.4511999995</v>
      </c>
      <c r="L9" s="15">
        <v>7.0000000000000007E-2</v>
      </c>
      <c r="M9" s="9">
        <f>IF(K9-300000&gt;0,'Tax Table - DONT ALTER'!D46,K9)*L9</f>
        <v>21000.000000000004</v>
      </c>
      <c r="N9" s="10">
        <v>0.11</v>
      </c>
      <c r="O9" s="16">
        <f>IF(K9-600000&gt;0,'Tax Table - DONT ALTER'!F46,K9-300000)*N9</f>
        <v>33000</v>
      </c>
      <c r="P9" s="20">
        <v>0.15</v>
      </c>
      <c r="Q9" s="16">
        <f>IF(K9-1100000&gt;0,'Tax Table - DONT ALTER'!H47,K9-600000)*P9</f>
        <v>75000</v>
      </c>
      <c r="R9" s="20">
        <v>0.19</v>
      </c>
      <c r="S9" s="16">
        <f>IF(K9-1600000&gt;0,'Tax Table - DONT ALTER'!J46,K9-1100000)*R9</f>
        <v>95000</v>
      </c>
      <c r="T9" s="20">
        <v>0.21</v>
      </c>
      <c r="U9" s="16">
        <f>IF(K9-3200000&gt;0,'Tax Table - DONT ALTER'!L46,K9-1600000)*T9</f>
        <v>336000</v>
      </c>
      <c r="V9" s="20">
        <v>0.24</v>
      </c>
      <c r="W9" s="30">
        <f>IF(K9-3200000&gt;0,K9-3200000)*V9</f>
        <v>121188.10828799989</v>
      </c>
      <c r="X9" s="5">
        <f t="shared" ref="X9:X37" si="0">1%*F9</f>
        <v>53056.391999999993</v>
      </c>
      <c r="Y9" s="90">
        <f>IF(M9&gt;=0,M9)+IF(O9&gt;=0,O9)+IF(Q9&gt;=0,Q9)+IF(S9&gt;=0,S9)+IF(U9&gt;=0,U9)+IF(W9&gt;=0,W9)</f>
        <v>681188.10828799987</v>
      </c>
      <c r="Z9" s="96">
        <f>F9-G9-Y9</f>
        <v>4199999.9557119999</v>
      </c>
      <c r="AA9" s="85">
        <f>Z9/12</f>
        <v>349999.99630933331</v>
      </c>
      <c r="AB9" s="93">
        <f>Y9</f>
        <v>681188.10828799987</v>
      </c>
      <c r="AC9" s="92">
        <f>AB9/12</f>
        <v>56765.675690666656</v>
      </c>
      <c r="AD9" s="93">
        <f t="shared" ref="AD9:AD33" si="1">G9</f>
        <v>424451.13599999994</v>
      </c>
      <c r="AE9" s="92">
        <f>AD9/12</f>
        <v>35370.927999999993</v>
      </c>
      <c r="AF9" s="93">
        <f>SUM(Payroll_Raw!I7:K7)*10%</f>
        <v>530563.91999999993</v>
      </c>
      <c r="AG9" s="92">
        <f>AF9/12</f>
        <v>44213.659999999996</v>
      </c>
      <c r="AH9" s="104">
        <f>AD9+AF9</f>
        <v>955015.05599999987</v>
      </c>
      <c r="AI9" s="97">
        <f>AE9+AG9</f>
        <v>79584.587999999989</v>
      </c>
      <c r="AJ9" s="54"/>
      <c r="AK9" s="121"/>
    </row>
    <row r="10" spans="1:38" x14ac:dyDescent="0.3">
      <c r="A10" s="54"/>
      <c r="B10" s="77">
        <f>+B9+1</f>
        <v>2</v>
      </c>
      <c r="C10" s="53"/>
      <c r="D10" s="48">
        <f>Payroll_Raw!D8</f>
        <v>0</v>
      </c>
      <c r="E10" s="48">
        <f>Payroll_Raw!G49</f>
        <v>0</v>
      </c>
      <c r="F10" s="40">
        <f>117856.55*12</f>
        <v>1414278.6</v>
      </c>
      <c r="G10" s="38">
        <f>F10*8/100</f>
        <v>113142.288</v>
      </c>
      <c r="H10" s="34">
        <f t="shared" ref="H10:H19" si="2">F10-G10</f>
        <v>1301136.3120000002</v>
      </c>
      <c r="I10" s="39">
        <f t="shared" ref="I10:I37" si="3">(20%*H10)+200000</f>
        <v>460227.26240000001</v>
      </c>
      <c r="J10" s="35">
        <f t="shared" ref="J10:J37" si="4">SUM(I10:I10)</f>
        <v>460227.26240000001</v>
      </c>
      <c r="K10" s="37">
        <f t="shared" ref="K10:K25" si="5">H10-J10</f>
        <v>840909.04960000014</v>
      </c>
      <c r="L10" s="15">
        <f>L9</f>
        <v>7.0000000000000007E-2</v>
      </c>
      <c r="M10" s="9">
        <f>IF(K10-300000&gt;0,'Tax Table - DONT ALTER'!D47,K10)*L10</f>
        <v>21000.000000000004</v>
      </c>
      <c r="N10" s="10">
        <f>N9</f>
        <v>0.11</v>
      </c>
      <c r="O10" s="16">
        <f>IF(K10-600000&gt;0,'Tax Table - DONT ALTER'!F47,K10-300000)*N10</f>
        <v>33000</v>
      </c>
      <c r="P10" s="20">
        <f>P9</f>
        <v>0.15</v>
      </c>
      <c r="Q10" s="16">
        <f>IF(K10-1100000&gt;0,'Tax Table - DONT ALTER'!H48,K10-600000)*P10</f>
        <v>36136.357440000022</v>
      </c>
      <c r="R10" s="20">
        <f>R9</f>
        <v>0.19</v>
      </c>
      <c r="S10" s="16">
        <f>IF(K10-1600000&gt;0,'Tax Table - DONT ALTER'!J47,K10-1100000)*R10</f>
        <v>-49227.280575999976</v>
      </c>
      <c r="T10" s="20">
        <f>T9</f>
        <v>0.21</v>
      </c>
      <c r="U10" s="16">
        <f>IF(K10-3200000&gt;0,'Tax Table - DONT ALTER'!L47,K10-1600000)*T10</f>
        <v>-159409.09958399995</v>
      </c>
      <c r="V10" s="20">
        <f>V9</f>
        <v>0.24</v>
      </c>
      <c r="W10" s="30">
        <f>IF(K10-3200000&gt;0,K10-3200000)*V10</f>
        <v>0</v>
      </c>
      <c r="X10" s="5">
        <f t="shared" si="0"/>
        <v>14142.786000000002</v>
      </c>
      <c r="Y10" s="90">
        <f>IF(M10&gt;=0,M10)+IF(O10&gt;=0,O10)+IF(Q10&gt;=0,Q10)+IF(S10&gt;=0,S10)+IF(U10&gt;=0,U10)+IF(W10&gt;=0,W10)</f>
        <v>90136.357440000022</v>
      </c>
      <c r="Z10" s="96">
        <f>F10-G10-Y10</f>
        <v>1210999.9545600002</v>
      </c>
      <c r="AA10" s="85">
        <f t="shared" ref="AA10:AA37" si="6">Z10/12</f>
        <v>100916.66288000002</v>
      </c>
      <c r="AB10" s="93">
        <f>Y10</f>
        <v>90136.357440000022</v>
      </c>
      <c r="AC10" s="92">
        <f t="shared" ref="AC10:AC37" si="7">AB10/12</f>
        <v>7511.3631200000018</v>
      </c>
      <c r="AD10" s="93">
        <f t="shared" si="1"/>
        <v>113142.288</v>
      </c>
      <c r="AE10" s="92">
        <f t="shared" ref="AE10:AE37" si="8">AD10/12</f>
        <v>9428.5239999999994</v>
      </c>
      <c r="AF10" s="93">
        <f>F10*10%</f>
        <v>141427.86000000002</v>
      </c>
      <c r="AG10" s="92">
        <f t="shared" ref="AG10:AG37" si="9">AF10/12</f>
        <v>11785.655000000001</v>
      </c>
      <c r="AH10" s="104">
        <f t="shared" ref="AH10:AH12" si="10">AD10+AF10</f>
        <v>254570.14800000002</v>
      </c>
      <c r="AI10" s="97">
        <f t="shared" ref="AI10:AI12" si="11">AE10+AG10</f>
        <v>21214.179</v>
      </c>
      <c r="AJ10" s="54"/>
      <c r="AK10" s="121"/>
    </row>
    <row r="11" spans="1:38" x14ac:dyDescent="0.3">
      <c r="A11" s="54"/>
      <c r="B11" s="77">
        <f t="shared" ref="B11:B37" si="12">+B10+1</f>
        <v>3</v>
      </c>
      <c r="C11" s="53"/>
      <c r="D11" s="48">
        <f>Payroll_Raw!D9</f>
        <v>0</v>
      </c>
      <c r="E11" s="48">
        <f>Payroll_Raw!G50</f>
        <v>0</v>
      </c>
      <c r="F11" s="40">
        <f>Payroll_Raw!R9</f>
        <v>2934260.04</v>
      </c>
      <c r="G11" s="38">
        <f>Payroll_Raw!S9*8/100*12</f>
        <v>234740.80319999999</v>
      </c>
      <c r="H11" s="34">
        <f t="shared" si="2"/>
        <v>2699519.2368000001</v>
      </c>
      <c r="I11" s="39">
        <f t="shared" si="3"/>
        <v>739903.84736000001</v>
      </c>
      <c r="J11" s="35">
        <f>SUM(I11:I11)</f>
        <v>739903.84736000001</v>
      </c>
      <c r="K11" s="37">
        <f t="shared" si="5"/>
        <v>1959615.3894400001</v>
      </c>
      <c r="L11" s="15">
        <f t="shared" ref="L11:L37" si="13">L10</f>
        <v>7.0000000000000007E-2</v>
      </c>
      <c r="M11" s="9">
        <f>IF(K11-300000&gt;0,'Tax Table - DONT ALTER'!D48,K11)*L11</f>
        <v>21000.000000000004</v>
      </c>
      <c r="N11" s="10">
        <f t="shared" ref="N11:N37" si="14">N10</f>
        <v>0.11</v>
      </c>
      <c r="O11" s="16">
        <f>IF(K11-600000&gt;0,'Tax Table - DONT ALTER'!F48,K11-300000)*N11</f>
        <v>33000</v>
      </c>
      <c r="P11" s="20">
        <f t="shared" ref="P11:P37" si="15">P10</f>
        <v>0.15</v>
      </c>
      <c r="Q11" s="16">
        <f>IF(K11-1100000&gt;0,'Tax Table - DONT ALTER'!H49,K11-600000)*P11</f>
        <v>75000</v>
      </c>
      <c r="R11" s="20">
        <f t="shared" ref="R11:R37" si="16">R10</f>
        <v>0.19</v>
      </c>
      <c r="S11" s="16">
        <f>IF(K11-1600000&gt;0,'Tax Table - DONT ALTER'!J48,K11-1100000)*R11</f>
        <v>95000</v>
      </c>
      <c r="T11" s="20">
        <f>T10</f>
        <v>0.21</v>
      </c>
      <c r="U11" s="16">
        <f>IF(K11-3200000&gt;0,'Tax Table - DONT ALTER'!L48,K11-1600000)*T11</f>
        <v>75519.231782400006</v>
      </c>
      <c r="V11" s="20">
        <f t="shared" ref="V11:V37" si="17">V10</f>
        <v>0.24</v>
      </c>
      <c r="W11" s="30">
        <f>IF(K11-3200000&gt;0,K11-3200000)*V11</f>
        <v>0</v>
      </c>
      <c r="X11" s="5">
        <f t="shared" si="0"/>
        <v>29342.600399999999</v>
      </c>
      <c r="Y11" s="90">
        <f>IF(M11&gt;=0,M11)+IF(O11&gt;=0,O11)+IF(Q11&gt;=0,Q11)+IF(S11&gt;=0,S11)+IF(U11&gt;=0,U11)+IF(W11&gt;=0,W11)</f>
        <v>299519.23178239999</v>
      </c>
      <c r="Z11" s="96">
        <f>F11-G11-Y11</f>
        <v>2400000.0050176</v>
      </c>
      <c r="AA11" s="85">
        <f t="shared" si="6"/>
        <v>200000.00041813334</v>
      </c>
      <c r="AB11" s="93">
        <f t="shared" ref="AB11:AB31" si="18">Y11</f>
        <v>299519.23178239999</v>
      </c>
      <c r="AC11" s="92">
        <f t="shared" si="7"/>
        <v>24959.935981866667</v>
      </c>
      <c r="AD11" s="93">
        <f t="shared" si="1"/>
        <v>234740.80319999999</v>
      </c>
      <c r="AE11" s="92">
        <f t="shared" si="8"/>
        <v>19561.7336</v>
      </c>
      <c r="AF11" s="93">
        <f>SUM(Payroll_Raw!I9:K9)*10%</f>
        <v>0</v>
      </c>
      <c r="AG11" s="92">
        <f t="shared" si="9"/>
        <v>0</v>
      </c>
      <c r="AH11" s="104">
        <f t="shared" si="10"/>
        <v>234740.80319999999</v>
      </c>
      <c r="AI11" s="97">
        <f t="shared" si="11"/>
        <v>19561.7336</v>
      </c>
      <c r="AJ11" s="54"/>
      <c r="AK11" s="121"/>
    </row>
    <row r="12" spans="1:38" x14ac:dyDescent="0.3">
      <c r="A12" s="54"/>
      <c r="B12" s="77">
        <f t="shared" si="12"/>
        <v>4</v>
      </c>
      <c r="C12" s="53"/>
      <c r="D12" s="48">
        <f>Payroll_Raw!D10</f>
        <v>0</v>
      </c>
      <c r="E12" s="48">
        <f>Payroll_Raw!G51</f>
        <v>0</v>
      </c>
      <c r="F12" s="40">
        <f>Payroll_Raw!R10</f>
        <v>0</v>
      </c>
      <c r="G12" s="38">
        <f>SUM(Payroll_Raw!K10:S10)*8/100</f>
        <v>0</v>
      </c>
      <c r="H12" s="34">
        <f>F12-G12</f>
        <v>0</v>
      </c>
      <c r="I12" s="39">
        <f>(20%*H12)+200000</f>
        <v>200000</v>
      </c>
      <c r="J12" s="35">
        <f>SUM(I12:I12)</f>
        <v>200000</v>
      </c>
      <c r="K12" s="37">
        <f>H12-J12</f>
        <v>-200000</v>
      </c>
      <c r="L12" s="15">
        <f t="shared" si="13"/>
        <v>7.0000000000000007E-2</v>
      </c>
      <c r="M12" s="9">
        <f>IF(K12-300000&gt;0,'Tax Table - DONT ALTER'!D49,K12)*L12</f>
        <v>-14000.000000000002</v>
      </c>
      <c r="N12" s="10">
        <f t="shared" si="14"/>
        <v>0.11</v>
      </c>
      <c r="O12" s="16">
        <f>IF(K12-600000&gt;0,'Tax Table - DONT ALTER'!F49,K12-300000)*N12</f>
        <v>-55000</v>
      </c>
      <c r="P12" s="20">
        <f t="shared" si="15"/>
        <v>0.15</v>
      </c>
      <c r="Q12" s="16">
        <f>IF(K12-1100000&gt;0,'Tax Table - DONT ALTER'!H50,K12-600000)*P12</f>
        <v>-120000</v>
      </c>
      <c r="R12" s="20">
        <f t="shared" si="16"/>
        <v>0.19</v>
      </c>
      <c r="S12" s="16">
        <f>IF(K12-1600000&gt;0,'Tax Table - DONT ALTER'!J49,K12-1100000)*R12</f>
        <v>-247000</v>
      </c>
      <c r="T12" s="20">
        <f t="shared" ref="T12:T37" si="19">T11</f>
        <v>0.21</v>
      </c>
      <c r="U12" s="16">
        <f>IF(K12-3200000&gt;0,'Tax Table - DONT ALTER'!L49,K12-1600000)*T12</f>
        <v>-378000</v>
      </c>
      <c r="V12" s="20">
        <f t="shared" si="17"/>
        <v>0.24</v>
      </c>
      <c r="W12" s="30">
        <f t="shared" ref="W12:W37" si="20">IF(K12-3200000&gt;0,K12-3200000)*V12</f>
        <v>0</v>
      </c>
      <c r="X12" s="5">
        <f t="shared" si="0"/>
        <v>0</v>
      </c>
      <c r="Y12" s="90">
        <f t="shared" ref="Y12:Y13" si="21">IF(M12&gt;=0,M12)+IF(O12&gt;=0,O12)+IF(Q12&gt;=0,Q12)+IF(S12&gt;=0,S12)+IF(U12&gt;=0,U12)+IF(W12&gt;=0,W12)</f>
        <v>0</v>
      </c>
      <c r="Z12" s="96">
        <f>F12-G12-Y12</f>
        <v>0</v>
      </c>
      <c r="AA12" s="85">
        <f t="shared" si="6"/>
        <v>0</v>
      </c>
      <c r="AB12" s="93">
        <f t="shared" si="18"/>
        <v>0</v>
      </c>
      <c r="AC12" s="92">
        <f t="shared" si="7"/>
        <v>0</v>
      </c>
      <c r="AD12" s="93">
        <f t="shared" si="1"/>
        <v>0</v>
      </c>
      <c r="AE12" s="92">
        <f t="shared" si="8"/>
        <v>0</v>
      </c>
      <c r="AF12" s="93">
        <f>SUM(Payroll_Raw!I10:K10)*10%</f>
        <v>0</v>
      </c>
      <c r="AG12" s="92">
        <f t="shared" si="9"/>
        <v>0</v>
      </c>
      <c r="AH12" s="104">
        <f t="shared" si="10"/>
        <v>0</v>
      </c>
      <c r="AI12" s="97">
        <f t="shared" si="11"/>
        <v>0</v>
      </c>
      <c r="AK12" s="121"/>
    </row>
    <row r="13" spans="1:38" x14ac:dyDescent="0.3">
      <c r="B13" s="77">
        <f t="shared" si="12"/>
        <v>5</v>
      </c>
      <c r="C13" s="53"/>
      <c r="D13" s="48">
        <f>Payroll_Raw!D11</f>
        <v>0</v>
      </c>
      <c r="E13" s="48">
        <f>Payroll_Raw!G52</f>
        <v>0</v>
      </c>
      <c r="F13" s="40"/>
      <c r="G13" s="38">
        <f>F13*8/100</f>
        <v>0</v>
      </c>
      <c r="H13" s="34">
        <f t="shared" si="2"/>
        <v>0</v>
      </c>
      <c r="I13" s="39">
        <f t="shared" si="3"/>
        <v>200000</v>
      </c>
      <c r="J13" s="35">
        <f t="shared" si="4"/>
        <v>200000</v>
      </c>
      <c r="K13" s="37">
        <f t="shared" si="5"/>
        <v>-200000</v>
      </c>
      <c r="L13" s="15">
        <f t="shared" si="13"/>
        <v>7.0000000000000007E-2</v>
      </c>
      <c r="M13" s="9">
        <f>IF(K13-300000&gt;0,'Tax Table - DONT ALTER'!D50,K13)*L13</f>
        <v>-14000.000000000002</v>
      </c>
      <c r="N13" s="10">
        <f t="shared" si="14"/>
        <v>0.11</v>
      </c>
      <c r="O13" s="16">
        <f>IF(K13-600000&gt;0,'Tax Table - DONT ALTER'!F50,K13-300000)*N13</f>
        <v>-55000</v>
      </c>
      <c r="P13" s="20">
        <f t="shared" si="15"/>
        <v>0.15</v>
      </c>
      <c r="Q13" s="16">
        <f>IF(K13-1100000&gt;0,'Tax Table - DONT ALTER'!H51,K13-600000)*P13</f>
        <v>-120000</v>
      </c>
      <c r="R13" s="20">
        <f t="shared" si="16"/>
        <v>0.19</v>
      </c>
      <c r="S13" s="16">
        <f>IF(K13-1600000&gt;0,'Tax Table - DONT ALTER'!J50,K13-1100000)*R13</f>
        <v>-247000</v>
      </c>
      <c r="T13" s="20">
        <f t="shared" si="19"/>
        <v>0.21</v>
      </c>
      <c r="U13" s="16">
        <f>IF(K13-3200000&gt;0,'Tax Table - DONT ALTER'!L50,K13-1600000)*T13</f>
        <v>-378000</v>
      </c>
      <c r="V13" s="20">
        <f t="shared" si="17"/>
        <v>0.24</v>
      </c>
      <c r="W13" s="30">
        <f t="shared" si="20"/>
        <v>0</v>
      </c>
      <c r="X13" s="5">
        <f t="shared" si="0"/>
        <v>0</v>
      </c>
      <c r="Y13" s="90">
        <f t="shared" si="21"/>
        <v>0</v>
      </c>
      <c r="Z13" s="96">
        <f>F13-G13-Y13</f>
        <v>0</v>
      </c>
      <c r="AA13" s="85">
        <f t="shared" ref="AA13" si="22">Z13/12</f>
        <v>0</v>
      </c>
      <c r="AB13" s="93">
        <f t="shared" si="18"/>
        <v>0</v>
      </c>
      <c r="AC13" s="92">
        <f t="shared" si="7"/>
        <v>0</v>
      </c>
      <c r="AD13" s="93">
        <f t="shared" si="1"/>
        <v>0</v>
      </c>
      <c r="AE13" s="92">
        <f t="shared" si="8"/>
        <v>0</v>
      </c>
      <c r="AF13" s="93">
        <f t="shared" ref="AF13:AF34" si="23">F13*10%</f>
        <v>0</v>
      </c>
      <c r="AG13" s="92">
        <f t="shared" si="9"/>
        <v>0</v>
      </c>
      <c r="AH13" s="104">
        <f t="shared" ref="AH13:AH37" si="24">AD13+AF13</f>
        <v>0</v>
      </c>
      <c r="AI13" s="97">
        <f t="shared" ref="AI13:AI37" si="25">AE13+AG13</f>
        <v>0</v>
      </c>
    </row>
    <row r="14" spans="1:38" x14ac:dyDescent="0.3">
      <c r="B14" s="77">
        <f t="shared" si="12"/>
        <v>6</v>
      </c>
      <c r="C14" s="53"/>
      <c r="D14" s="48">
        <f>Payroll_Raw!D12</f>
        <v>0</v>
      </c>
      <c r="E14" s="48">
        <f>Payroll_Raw!G53</f>
        <v>0</v>
      </c>
      <c r="F14" s="40"/>
      <c r="G14" s="38">
        <f t="shared" ref="G14:G37" si="26">F14*8/100</f>
        <v>0</v>
      </c>
      <c r="H14" s="34">
        <f t="shared" si="2"/>
        <v>0</v>
      </c>
      <c r="I14" s="39">
        <f t="shared" si="3"/>
        <v>200000</v>
      </c>
      <c r="J14" s="35">
        <f>SUM(I14:I14)</f>
        <v>200000</v>
      </c>
      <c r="K14" s="37">
        <f t="shared" si="5"/>
        <v>-200000</v>
      </c>
      <c r="L14" s="15">
        <f t="shared" si="13"/>
        <v>7.0000000000000007E-2</v>
      </c>
      <c r="M14" s="9">
        <f>IF(K14-300000&gt;0,'Tax Table - DONT ALTER'!D51,K14)*L14</f>
        <v>-14000.000000000002</v>
      </c>
      <c r="N14" s="10">
        <f t="shared" si="14"/>
        <v>0.11</v>
      </c>
      <c r="O14" s="16">
        <f>IF(K14-600000&gt;0,'Tax Table - DONT ALTER'!F51,K14-300000)*N14</f>
        <v>-55000</v>
      </c>
      <c r="P14" s="20">
        <f t="shared" si="15"/>
        <v>0.15</v>
      </c>
      <c r="Q14" s="16">
        <f>IF(K14-1100000&gt;0,'Tax Table - DONT ALTER'!H52,K14-600000)*P14</f>
        <v>-120000</v>
      </c>
      <c r="R14" s="20">
        <f t="shared" si="16"/>
        <v>0.19</v>
      </c>
      <c r="S14" s="16">
        <f>IF(K14-1600000&gt;0,'Tax Table - DONT ALTER'!J51,K14-1100000)*R14</f>
        <v>-247000</v>
      </c>
      <c r="T14" s="20">
        <f t="shared" si="19"/>
        <v>0.21</v>
      </c>
      <c r="U14" s="16">
        <f>IF(K14-3200000&gt;0,'Tax Table - DONT ALTER'!L51,K14-1600000)*T14</f>
        <v>-378000</v>
      </c>
      <c r="V14" s="20">
        <f t="shared" si="17"/>
        <v>0.24</v>
      </c>
      <c r="W14" s="30">
        <f t="shared" si="20"/>
        <v>0</v>
      </c>
      <c r="X14" s="5">
        <f t="shared" si="0"/>
        <v>0</v>
      </c>
      <c r="Y14" s="90">
        <f t="shared" ref="Y14:Y35" si="27">IF(M14&gt;=0,M14)+IF(O14&gt;=0,O14)+IF(Q14&gt;=0,Q14)+IF(S14&gt;=0,S14)+IF(U14&gt;=0,U14)+IF(W14&gt;=0,W14)</f>
        <v>0</v>
      </c>
      <c r="Z14" s="96">
        <f t="shared" ref="Z14:Z37" si="28">F14-G14-H14-Y14</f>
        <v>0</v>
      </c>
      <c r="AA14" s="85">
        <f t="shared" si="6"/>
        <v>0</v>
      </c>
      <c r="AB14" s="93">
        <f t="shared" si="18"/>
        <v>0</v>
      </c>
      <c r="AC14" s="92">
        <f t="shared" si="7"/>
        <v>0</v>
      </c>
      <c r="AD14" s="93">
        <f t="shared" si="1"/>
        <v>0</v>
      </c>
      <c r="AE14" s="92">
        <f t="shared" si="8"/>
        <v>0</v>
      </c>
      <c r="AF14" s="93">
        <f t="shared" si="23"/>
        <v>0</v>
      </c>
      <c r="AG14" s="92">
        <f t="shared" si="9"/>
        <v>0</v>
      </c>
      <c r="AH14" s="104">
        <f t="shared" si="24"/>
        <v>0</v>
      </c>
      <c r="AI14" s="97">
        <f t="shared" si="25"/>
        <v>0</v>
      </c>
    </row>
    <row r="15" spans="1:38" x14ac:dyDescent="0.3">
      <c r="B15" s="77">
        <f t="shared" si="12"/>
        <v>7</v>
      </c>
      <c r="C15" s="53"/>
      <c r="D15" s="48">
        <f>Payroll_Raw!D13</f>
        <v>0</v>
      </c>
      <c r="E15" s="48">
        <f>Payroll_Raw!G54</f>
        <v>0</v>
      </c>
      <c r="F15" s="40"/>
      <c r="G15" s="38">
        <f t="shared" si="26"/>
        <v>0</v>
      </c>
      <c r="H15" s="34">
        <f t="shared" si="2"/>
        <v>0</v>
      </c>
      <c r="I15" s="39">
        <f t="shared" si="3"/>
        <v>200000</v>
      </c>
      <c r="J15" s="35">
        <f t="shared" si="4"/>
        <v>200000</v>
      </c>
      <c r="K15" s="37">
        <f t="shared" si="5"/>
        <v>-200000</v>
      </c>
      <c r="L15" s="15">
        <f t="shared" si="13"/>
        <v>7.0000000000000007E-2</v>
      </c>
      <c r="M15" s="9">
        <f>IF(K15-300000&gt;0,'Tax Table - DONT ALTER'!D52,K15)*L15</f>
        <v>-14000.000000000002</v>
      </c>
      <c r="N15" s="10">
        <f t="shared" si="14"/>
        <v>0.11</v>
      </c>
      <c r="O15" s="16">
        <f>IF(K15-600000&gt;0,'Tax Table - DONT ALTER'!F52,K15-300000)*N15</f>
        <v>-55000</v>
      </c>
      <c r="P15" s="20">
        <f t="shared" si="15"/>
        <v>0.15</v>
      </c>
      <c r="Q15" s="16">
        <f>IF(K15-1100000&gt;0,'Tax Table - DONT ALTER'!H53,K15-600000)*P15</f>
        <v>-120000</v>
      </c>
      <c r="R15" s="20">
        <f t="shared" si="16"/>
        <v>0.19</v>
      </c>
      <c r="S15" s="16">
        <f>IF(K15-1600000&gt;0,'Tax Table - DONT ALTER'!J52,K15-1100000)*R15</f>
        <v>-247000</v>
      </c>
      <c r="T15" s="20">
        <f t="shared" si="19"/>
        <v>0.21</v>
      </c>
      <c r="U15" s="16">
        <f>IF(K15-3200000&gt;0,'Tax Table - DONT ALTER'!L52,K15-1600000)*T15</f>
        <v>-378000</v>
      </c>
      <c r="V15" s="20">
        <f t="shared" si="17"/>
        <v>0.24</v>
      </c>
      <c r="W15" s="30">
        <f t="shared" si="20"/>
        <v>0</v>
      </c>
      <c r="X15" s="5">
        <f t="shared" si="0"/>
        <v>0</v>
      </c>
      <c r="Y15" s="90">
        <f t="shared" si="27"/>
        <v>0</v>
      </c>
      <c r="Z15" s="96">
        <f t="shared" si="28"/>
        <v>0</v>
      </c>
      <c r="AA15" s="85">
        <f t="shared" si="6"/>
        <v>0</v>
      </c>
      <c r="AB15" s="93">
        <f t="shared" si="18"/>
        <v>0</v>
      </c>
      <c r="AC15" s="92">
        <f t="shared" si="7"/>
        <v>0</v>
      </c>
      <c r="AD15" s="93">
        <f t="shared" si="1"/>
        <v>0</v>
      </c>
      <c r="AE15" s="92">
        <f t="shared" si="8"/>
        <v>0</v>
      </c>
      <c r="AF15" s="93">
        <f t="shared" si="23"/>
        <v>0</v>
      </c>
      <c r="AG15" s="92">
        <f t="shared" si="9"/>
        <v>0</v>
      </c>
      <c r="AH15" s="104">
        <f t="shared" si="24"/>
        <v>0</v>
      </c>
      <c r="AI15" s="97">
        <f t="shared" si="25"/>
        <v>0</v>
      </c>
    </row>
    <row r="16" spans="1:38" x14ac:dyDescent="0.3">
      <c r="B16" s="77">
        <f t="shared" si="12"/>
        <v>8</v>
      </c>
      <c r="C16" s="53"/>
      <c r="D16" s="48">
        <f>Payroll_Raw!D14</f>
        <v>0</v>
      </c>
      <c r="E16" s="48">
        <f>Payroll_Raw!G55</f>
        <v>0</v>
      </c>
      <c r="F16" s="40"/>
      <c r="G16" s="38">
        <f t="shared" si="26"/>
        <v>0</v>
      </c>
      <c r="H16" s="34">
        <f t="shared" si="2"/>
        <v>0</v>
      </c>
      <c r="I16" s="39">
        <f t="shared" si="3"/>
        <v>200000</v>
      </c>
      <c r="J16" s="35">
        <f t="shared" si="4"/>
        <v>200000</v>
      </c>
      <c r="K16" s="37">
        <f t="shared" si="5"/>
        <v>-200000</v>
      </c>
      <c r="L16" s="15">
        <f t="shared" si="13"/>
        <v>7.0000000000000007E-2</v>
      </c>
      <c r="M16" s="9">
        <f>IF(K16-300000&gt;0,'Tax Table - DONT ALTER'!D53,K16)*L16</f>
        <v>-14000.000000000002</v>
      </c>
      <c r="N16" s="10">
        <f t="shared" si="14"/>
        <v>0.11</v>
      </c>
      <c r="O16" s="16">
        <f>IF(K16-600000&gt;0,'Tax Table - DONT ALTER'!F53,K16-300000)*N16</f>
        <v>-55000</v>
      </c>
      <c r="P16" s="20">
        <f t="shared" si="15"/>
        <v>0.15</v>
      </c>
      <c r="Q16" s="16">
        <f>IF(K16-1100000&gt;0,'Tax Table - DONT ALTER'!H54,K16-600000)*P16</f>
        <v>-120000</v>
      </c>
      <c r="R16" s="20">
        <f t="shared" si="16"/>
        <v>0.19</v>
      </c>
      <c r="S16" s="16">
        <f>IF(K16-1600000&gt;0,'Tax Table - DONT ALTER'!J53,K16-1100000)*R16</f>
        <v>-247000</v>
      </c>
      <c r="T16" s="20">
        <f t="shared" si="19"/>
        <v>0.21</v>
      </c>
      <c r="U16" s="16">
        <f>IF(K16-3200000&gt;0,'Tax Table - DONT ALTER'!L53,K16-1600000)*T16</f>
        <v>-378000</v>
      </c>
      <c r="V16" s="20">
        <f t="shared" si="17"/>
        <v>0.24</v>
      </c>
      <c r="W16" s="30">
        <f t="shared" si="20"/>
        <v>0</v>
      </c>
      <c r="X16" s="5">
        <f t="shared" si="0"/>
        <v>0</v>
      </c>
      <c r="Y16" s="90">
        <f t="shared" si="27"/>
        <v>0</v>
      </c>
      <c r="Z16" s="96">
        <f t="shared" si="28"/>
        <v>0</v>
      </c>
      <c r="AA16" s="85">
        <f t="shared" si="6"/>
        <v>0</v>
      </c>
      <c r="AB16" s="93">
        <f t="shared" si="18"/>
        <v>0</v>
      </c>
      <c r="AC16" s="92">
        <f t="shared" si="7"/>
        <v>0</v>
      </c>
      <c r="AD16" s="93">
        <f t="shared" si="1"/>
        <v>0</v>
      </c>
      <c r="AE16" s="92">
        <f t="shared" si="8"/>
        <v>0</v>
      </c>
      <c r="AF16" s="93">
        <f t="shared" si="23"/>
        <v>0</v>
      </c>
      <c r="AG16" s="92">
        <f t="shared" si="9"/>
        <v>0</v>
      </c>
      <c r="AH16" s="104">
        <f t="shared" si="24"/>
        <v>0</v>
      </c>
      <c r="AI16" s="97">
        <f t="shared" si="25"/>
        <v>0</v>
      </c>
    </row>
    <row r="17" spans="2:35" x14ac:dyDescent="0.3">
      <c r="B17" s="77">
        <f t="shared" si="12"/>
        <v>9</v>
      </c>
      <c r="C17" s="53"/>
      <c r="D17" s="48">
        <f>Payroll_Raw!D15</f>
        <v>0</v>
      </c>
      <c r="E17" s="48">
        <f>Payroll_Raw!G56</f>
        <v>0</v>
      </c>
      <c r="F17" s="40"/>
      <c r="G17" s="38">
        <f t="shared" si="26"/>
        <v>0</v>
      </c>
      <c r="H17" s="34">
        <f t="shared" si="2"/>
        <v>0</v>
      </c>
      <c r="I17" s="39">
        <f t="shared" si="3"/>
        <v>200000</v>
      </c>
      <c r="J17" s="35">
        <f t="shared" si="4"/>
        <v>200000</v>
      </c>
      <c r="K17" s="37">
        <f t="shared" si="5"/>
        <v>-200000</v>
      </c>
      <c r="L17" s="15">
        <f t="shared" si="13"/>
        <v>7.0000000000000007E-2</v>
      </c>
      <c r="M17" s="9">
        <f>IF(K17-300000&gt;0,'Tax Table - DONT ALTER'!D54,K17)*L17</f>
        <v>-14000.000000000002</v>
      </c>
      <c r="N17" s="10">
        <f t="shared" si="14"/>
        <v>0.11</v>
      </c>
      <c r="O17" s="16">
        <f>IF(K17-600000&gt;0,'Tax Table - DONT ALTER'!F54,K17-300000)*N17</f>
        <v>-55000</v>
      </c>
      <c r="P17" s="20">
        <f t="shared" si="15"/>
        <v>0.15</v>
      </c>
      <c r="Q17" s="16">
        <f>IF(K17-1100000&gt;0,'Tax Table - DONT ALTER'!H55,K17-600000)*P17</f>
        <v>-120000</v>
      </c>
      <c r="R17" s="20">
        <f t="shared" si="16"/>
        <v>0.19</v>
      </c>
      <c r="S17" s="16">
        <f>IF(K17-1600000&gt;0,'Tax Table - DONT ALTER'!J54,K17-1100000)*R17</f>
        <v>-247000</v>
      </c>
      <c r="T17" s="20">
        <f t="shared" si="19"/>
        <v>0.21</v>
      </c>
      <c r="U17" s="16">
        <f>IF(K17-3200000&gt;0,'Tax Table - DONT ALTER'!L54,K17-1600000)*T17</f>
        <v>-378000</v>
      </c>
      <c r="V17" s="20">
        <f t="shared" si="17"/>
        <v>0.24</v>
      </c>
      <c r="W17" s="30">
        <f t="shared" si="20"/>
        <v>0</v>
      </c>
      <c r="X17" s="5">
        <f t="shared" si="0"/>
        <v>0</v>
      </c>
      <c r="Y17" s="90">
        <f t="shared" si="27"/>
        <v>0</v>
      </c>
      <c r="Z17" s="96">
        <f t="shared" si="28"/>
        <v>0</v>
      </c>
      <c r="AA17" s="85">
        <f t="shared" si="6"/>
        <v>0</v>
      </c>
      <c r="AB17" s="93">
        <f t="shared" si="18"/>
        <v>0</v>
      </c>
      <c r="AC17" s="92">
        <f t="shared" si="7"/>
        <v>0</v>
      </c>
      <c r="AD17" s="93">
        <f t="shared" si="1"/>
        <v>0</v>
      </c>
      <c r="AE17" s="92">
        <f t="shared" si="8"/>
        <v>0</v>
      </c>
      <c r="AF17" s="93">
        <f t="shared" si="23"/>
        <v>0</v>
      </c>
      <c r="AG17" s="92">
        <f t="shared" si="9"/>
        <v>0</v>
      </c>
      <c r="AH17" s="104">
        <f t="shared" si="24"/>
        <v>0</v>
      </c>
      <c r="AI17" s="97">
        <f t="shared" si="25"/>
        <v>0</v>
      </c>
    </row>
    <row r="18" spans="2:35" x14ac:dyDescent="0.3">
      <c r="B18" s="77">
        <f t="shared" si="12"/>
        <v>10</v>
      </c>
      <c r="C18" s="53"/>
      <c r="D18" s="48">
        <f>Payroll_Raw!D16</f>
        <v>0</v>
      </c>
      <c r="E18" s="48">
        <f>Payroll_Raw!G57</f>
        <v>0</v>
      </c>
      <c r="F18" s="40"/>
      <c r="G18" s="38">
        <f t="shared" si="26"/>
        <v>0</v>
      </c>
      <c r="H18" s="34">
        <f t="shared" si="2"/>
        <v>0</v>
      </c>
      <c r="I18" s="39">
        <f t="shared" si="3"/>
        <v>200000</v>
      </c>
      <c r="J18" s="35">
        <f t="shared" si="4"/>
        <v>200000</v>
      </c>
      <c r="K18" s="37">
        <f t="shared" si="5"/>
        <v>-200000</v>
      </c>
      <c r="L18" s="15">
        <f t="shared" si="13"/>
        <v>7.0000000000000007E-2</v>
      </c>
      <c r="M18" s="9">
        <f>IF(K18-300000&gt;0,'Tax Table - DONT ALTER'!D55,K18)*L18</f>
        <v>-14000.000000000002</v>
      </c>
      <c r="N18" s="10">
        <f t="shared" si="14"/>
        <v>0.11</v>
      </c>
      <c r="O18" s="16">
        <f>IF(K18-600000&gt;0,'Tax Table - DONT ALTER'!F55,K18-300000)*N18</f>
        <v>-55000</v>
      </c>
      <c r="P18" s="20">
        <f t="shared" si="15"/>
        <v>0.15</v>
      </c>
      <c r="Q18" s="16">
        <f>IF(K18-1100000&gt;0,'Tax Table - DONT ALTER'!H56,K18-600000)*P18</f>
        <v>-120000</v>
      </c>
      <c r="R18" s="20">
        <f t="shared" si="16"/>
        <v>0.19</v>
      </c>
      <c r="S18" s="16">
        <f>IF(K18-1600000&gt;0,'Tax Table - DONT ALTER'!J55,K18-1100000)*R18</f>
        <v>-247000</v>
      </c>
      <c r="T18" s="20">
        <f t="shared" si="19"/>
        <v>0.21</v>
      </c>
      <c r="U18" s="16">
        <f>IF(K18-3200000&gt;0,'Tax Table - DONT ALTER'!L55,K18-1600000)*T18</f>
        <v>-378000</v>
      </c>
      <c r="V18" s="20">
        <f t="shared" si="17"/>
        <v>0.24</v>
      </c>
      <c r="W18" s="30">
        <f t="shared" si="20"/>
        <v>0</v>
      </c>
      <c r="X18" s="5">
        <f t="shared" si="0"/>
        <v>0</v>
      </c>
      <c r="Y18" s="90">
        <f t="shared" si="27"/>
        <v>0</v>
      </c>
      <c r="Z18" s="96">
        <f t="shared" si="28"/>
        <v>0</v>
      </c>
      <c r="AA18" s="85">
        <f t="shared" si="6"/>
        <v>0</v>
      </c>
      <c r="AB18" s="93">
        <f t="shared" si="18"/>
        <v>0</v>
      </c>
      <c r="AC18" s="92">
        <f t="shared" si="7"/>
        <v>0</v>
      </c>
      <c r="AD18" s="93">
        <f t="shared" si="1"/>
        <v>0</v>
      </c>
      <c r="AE18" s="92">
        <f t="shared" si="8"/>
        <v>0</v>
      </c>
      <c r="AF18" s="93">
        <f t="shared" si="23"/>
        <v>0</v>
      </c>
      <c r="AG18" s="92">
        <f t="shared" si="9"/>
        <v>0</v>
      </c>
      <c r="AH18" s="104">
        <f t="shared" si="24"/>
        <v>0</v>
      </c>
      <c r="AI18" s="97">
        <f t="shared" si="25"/>
        <v>0</v>
      </c>
    </row>
    <row r="19" spans="2:35" x14ac:dyDescent="0.3">
      <c r="B19" s="77">
        <f t="shared" si="12"/>
        <v>11</v>
      </c>
      <c r="C19" s="53"/>
      <c r="D19" s="48">
        <f>Payroll_Raw!D17</f>
        <v>0</v>
      </c>
      <c r="E19" s="48">
        <f>Payroll_Raw!G58</f>
        <v>0</v>
      </c>
      <c r="F19" s="40"/>
      <c r="G19" s="38">
        <f t="shared" si="26"/>
        <v>0</v>
      </c>
      <c r="H19" s="34">
        <f t="shared" si="2"/>
        <v>0</v>
      </c>
      <c r="I19" s="39">
        <f t="shared" si="3"/>
        <v>200000</v>
      </c>
      <c r="J19" s="35">
        <f t="shared" si="4"/>
        <v>200000</v>
      </c>
      <c r="K19" s="37">
        <f t="shared" si="5"/>
        <v>-200000</v>
      </c>
      <c r="L19" s="15">
        <f t="shared" si="13"/>
        <v>7.0000000000000007E-2</v>
      </c>
      <c r="M19" s="9">
        <f>IF(K19-300000&gt;0,'Tax Table - DONT ALTER'!D56,K19)*L19</f>
        <v>-14000.000000000002</v>
      </c>
      <c r="N19" s="10">
        <f t="shared" si="14"/>
        <v>0.11</v>
      </c>
      <c r="O19" s="16">
        <f>IF(K19-600000&gt;0,'Tax Table - DONT ALTER'!F56,K19-300000)*N19</f>
        <v>-55000</v>
      </c>
      <c r="P19" s="20">
        <f t="shared" si="15"/>
        <v>0.15</v>
      </c>
      <c r="Q19" s="16">
        <f>IF(K19-1100000&gt;0,'Tax Table - DONT ALTER'!H57,K19-600000)*P19</f>
        <v>-120000</v>
      </c>
      <c r="R19" s="20">
        <f t="shared" si="16"/>
        <v>0.19</v>
      </c>
      <c r="S19" s="16">
        <f>IF(K19-1600000&gt;0,'Tax Table - DONT ALTER'!J56,K19-1100000)*R19</f>
        <v>-247000</v>
      </c>
      <c r="T19" s="20">
        <f t="shared" si="19"/>
        <v>0.21</v>
      </c>
      <c r="U19" s="16">
        <f>IF(K19-3200000&gt;0,'Tax Table - DONT ALTER'!L56,K19-1600000)*T19</f>
        <v>-378000</v>
      </c>
      <c r="V19" s="20">
        <f t="shared" si="17"/>
        <v>0.24</v>
      </c>
      <c r="W19" s="30">
        <f t="shared" si="20"/>
        <v>0</v>
      </c>
      <c r="X19" s="5">
        <f t="shared" si="0"/>
        <v>0</v>
      </c>
      <c r="Y19" s="90">
        <f t="shared" si="27"/>
        <v>0</v>
      </c>
      <c r="Z19" s="96">
        <f t="shared" si="28"/>
        <v>0</v>
      </c>
      <c r="AA19" s="85">
        <f t="shared" si="6"/>
        <v>0</v>
      </c>
      <c r="AB19" s="93">
        <f t="shared" si="18"/>
        <v>0</v>
      </c>
      <c r="AC19" s="92">
        <f t="shared" si="7"/>
        <v>0</v>
      </c>
      <c r="AD19" s="93">
        <f t="shared" si="1"/>
        <v>0</v>
      </c>
      <c r="AE19" s="92">
        <f t="shared" si="8"/>
        <v>0</v>
      </c>
      <c r="AF19" s="93">
        <f t="shared" si="23"/>
        <v>0</v>
      </c>
      <c r="AG19" s="92">
        <f t="shared" si="9"/>
        <v>0</v>
      </c>
      <c r="AH19" s="104">
        <f t="shared" si="24"/>
        <v>0</v>
      </c>
      <c r="AI19" s="97">
        <f t="shared" si="25"/>
        <v>0</v>
      </c>
    </row>
    <row r="20" spans="2:35" x14ac:dyDescent="0.3">
      <c r="B20" s="77">
        <f t="shared" si="12"/>
        <v>12</v>
      </c>
      <c r="C20" s="53"/>
      <c r="D20" s="48">
        <f>Payroll_Raw!D18</f>
        <v>0</v>
      </c>
      <c r="E20" s="48">
        <f>Payroll_Raw!G59</f>
        <v>0</v>
      </c>
      <c r="F20" s="40"/>
      <c r="G20" s="38">
        <f t="shared" si="26"/>
        <v>0</v>
      </c>
      <c r="H20" s="34">
        <f t="shared" ref="H20:H37" si="29">F20-G20</f>
        <v>0</v>
      </c>
      <c r="I20" s="39">
        <f t="shared" si="3"/>
        <v>200000</v>
      </c>
      <c r="J20" s="35">
        <f t="shared" si="4"/>
        <v>200000</v>
      </c>
      <c r="K20" s="37">
        <f t="shared" si="5"/>
        <v>-200000</v>
      </c>
      <c r="L20" s="15">
        <f t="shared" si="13"/>
        <v>7.0000000000000007E-2</v>
      </c>
      <c r="M20" s="9">
        <f>IF(K20-300000&gt;0,'Tax Table - DONT ALTER'!D57,K20)*L20</f>
        <v>-14000.000000000002</v>
      </c>
      <c r="N20" s="10">
        <f t="shared" si="14"/>
        <v>0.11</v>
      </c>
      <c r="O20" s="16">
        <f>IF(K20-600000&gt;0,'Tax Table - DONT ALTER'!F57,K20-300000)*N20</f>
        <v>-55000</v>
      </c>
      <c r="P20" s="20">
        <f t="shared" si="15"/>
        <v>0.15</v>
      </c>
      <c r="Q20" s="16">
        <f>IF(K20-1100000&gt;0,'Tax Table - DONT ALTER'!H58,K20-600000)*P20</f>
        <v>-120000</v>
      </c>
      <c r="R20" s="20">
        <f t="shared" si="16"/>
        <v>0.19</v>
      </c>
      <c r="S20" s="16">
        <f>IF(K20-1600000&gt;0,'Tax Table - DONT ALTER'!J57,K20-1100000)*R20</f>
        <v>-247000</v>
      </c>
      <c r="T20" s="20">
        <f t="shared" si="19"/>
        <v>0.21</v>
      </c>
      <c r="U20" s="16">
        <f>IF(K20-3200000&gt;0,'Tax Table - DONT ALTER'!L57,K20-1600000)*T20</f>
        <v>-378000</v>
      </c>
      <c r="V20" s="20">
        <f t="shared" si="17"/>
        <v>0.24</v>
      </c>
      <c r="W20" s="30">
        <f t="shared" si="20"/>
        <v>0</v>
      </c>
      <c r="X20" s="5">
        <f t="shared" si="0"/>
        <v>0</v>
      </c>
      <c r="Y20" s="90">
        <f t="shared" si="27"/>
        <v>0</v>
      </c>
      <c r="Z20" s="96">
        <f t="shared" si="28"/>
        <v>0</v>
      </c>
      <c r="AA20" s="85">
        <f t="shared" si="6"/>
        <v>0</v>
      </c>
      <c r="AB20" s="93">
        <f t="shared" si="18"/>
        <v>0</v>
      </c>
      <c r="AC20" s="92">
        <f t="shared" si="7"/>
        <v>0</v>
      </c>
      <c r="AD20" s="93">
        <f t="shared" si="1"/>
        <v>0</v>
      </c>
      <c r="AE20" s="92">
        <f t="shared" si="8"/>
        <v>0</v>
      </c>
      <c r="AF20" s="93">
        <f t="shared" si="23"/>
        <v>0</v>
      </c>
      <c r="AG20" s="92">
        <f t="shared" si="9"/>
        <v>0</v>
      </c>
      <c r="AH20" s="104">
        <f t="shared" si="24"/>
        <v>0</v>
      </c>
      <c r="AI20" s="97">
        <f t="shared" si="25"/>
        <v>0</v>
      </c>
    </row>
    <row r="21" spans="2:35" x14ac:dyDescent="0.3">
      <c r="B21" s="77">
        <f t="shared" si="12"/>
        <v>13</v>
      </c>
      <c r="C21" s="53"/>
      <c r="D21" s="48">
        <f>Payroll_Raw!D19</f>
        <v>0</v>
      </c>
      <c r="E21" s="48">
        <f>Payroll_Raw!G60</f>
        <v>0</v>
      </c>
      <c r="F21" s="40"/>
      <c r="G21" s="38">
        <f t="shared" si="26"/>
        <v>0</v>
      </c>
      <c r="H21" s="34">
        <f t="shared" si="29"/>
        <v>0</v>
      </c>
      <c r="I21" s="39">
        <f t="shared" si="3"/>
        <v>200000</v>
      </c>
      <c r="J21" s="35">
        <f t="shared" si="4"/>
        <v>200000</v>
      </c>
      <c r="K21" s="37">
        <f t="shared" si="5"/>
        <v>-200000</v>
      </c>
      <c r="L21" s="15">
        <f t="shared" si="13"/>
        <v>7.0000000000000007E-2</v>
      </c>
      <c r="M21" s="9">
        <f>IF(K21-300000&gt;0,'Tax Table - DONT ALTER'!D58,K21)*L21</f>
        <v>-14000.000000000002</v>
      </c>
      <c r="N21" s="10">
        <f t="shared" si="14"/>
        <v>0.11</v>
      </c>
      <c r="O21" s="16">
        <f>IF(K21-600000&gt;0,'Tax Table - DONT ALTER'!F58,K21-300000)*N21</f>
        <v>-55000</v>
      </c>
      <c r="P21" s="20">
        <f t="shared" si="15"/>
        <v>0.15</v>
      </c>
      <c r="Q21" s="16">
        <f>IF(K21-1100000&gt;0,'Tax Table - DONT ALTER'!H59,K21-600000)*P21</f>
        <v>-120000</v>
      </c>
      <c r="R21" s="20">
        <f t="shared" si="16"/>
        <v>0.19</v>
      </c>
      <c r="S21" s="16">
        <f>IF(K21-1600000&gt;0,'Tax Table - DONT ALTER'!J58,K21-1100000)*R21</f>
        <v>-247000</v>
      </c>
      <c r="T21" s="20">
        <f t="shared" si="19"/>
        <v>0.21</v>
      </c>
      <c r="U21" s="16">
        <f>IF(K21-3200000&gt;0,'Tax Table - DONT ALTER'!L58,K21-1600000)*T21</f>
        <v>-378000</v>
      </c>
      <c r="V21" s="20">
        <f t="shared" si="17"/>
        <v>0.24</v>
      </c>
      <c r="W21" s="30">
        <f t="shared" si="20"/>
        <v>0</v>
      </c>
      <c r="X21" s="5">
        <f t="shared" si="0"/>
        <v>0</v>
      </c>
      <c r="Y21" s="90">
        <f t="shared" si="27"/>
        <v>0</v>
      </c>
      <c r="Z21" s="96">
        <f t="shared" si="28"/>
        <v>0</v>
      </c>
      <c r="AA21" s="85">
        <f t="shared" si="6"/>
        <v>0</v>
      </c>
      <c r="AB21" s="93">
        <f t="shared" si="18"/>
        <v>0</v>
      </c>
      <c r="AC21" s="92">
        <f t="shared" si="7"/>
        <v>0</v>
      </c>
      <c r="AD21" s="93">
        <f t="shared" si="1"/>
        <v>0</v>
      </c>
      <c r="AE21" s="92">
        <f t="shared" si="8"/>
        <v>0</v>
      </c>
      <c r="AF21" s="93">
        <f t="shared" si="23"/>
        <v>0</v>
      </c>
      <c r="AG21" s="92">
        <f t="shared" si="9"/>
        <v>0</v>
      </c>
      <c r="AH21" s="104">
        <f t="shared" si="24"/>
        <v>0</v>
      </c>
      <c r="AI21" s="97">
        <f t="shared" si="25"/>
        <v>0</v>
      </c>
    </row>
    <row r="22" spans="2:35" x14ac:dyDescent="0.3">
      <c r="B22" s="77">
        <f t="shared" si="12"/>
        <v>14</v>
      </c>
      <c r="C22" s="53"/>
      <c r="D22" s="48">
        <f>Payroll_Raw!D20</f>
        <v>0</v>
      </c>
      <c r="E22" s="48">
        <f>Payroll_Raw!G61</f>
        <v>0</v>
      </c>
      <c r="F22" s="40"/>
      <c r="G22" s="38">
        <f t="shared" si="26"/>
        <v>0</v>
      </c>
      <c r="H22" s="34">
        <f t="shared" si="29"/>
        <v>0</v>
      </c>
      <c r="I22" s="39">
        <f t="shared" si="3"/>
        <v>200000</v>
      </c>
      <c r="J22" s="35">
        <f t="shared" si="4"/>
        <v>200000</v>
      </c>
      <c r="K22" s="37">
        <f t="shared" si="5"/>
        <v>-200000</v>
      </c>
      <c r="L22" s="15">
        <f t="shared" si="13"/>
        <v>7.0000000000000007E-2</v>
      </c>
      <c r="M22" s="9">
        <f>IF(K22-300000&gt;0,'Tax Table - DONT ALTER'!D59,K22)*L22</f>
        <v>-14000.000000000002</v>
      </c>
      <c r="N22" s="10">
        <f t="shared" si="14"/>
        <v>0.11</v>
      </c>
      <c r="O22" s="16">
        <f>IF(K22-600000&gt;0,'Tax Table - DONT ALTER'!F59,K22-300000)*N22</f>
        <v>-55000</v>
      </c>
      <c r="P22" s="20">
        <f t="shared" si="15"/>
        <v>0.15</v>
      </c>
      <c r="Q22" s="16">
        <f>IF(K22-1100000&gt;0,'Tax Table - DONT ALTER'!H60,K22-600000)*P22</f>
        <v>-120000</v>
      </c>
      <c r="R22" s="20">
        <f t="shared" si="16"/>
        <v>0.19</v>
      </c>
      <c r="S22" s="16">
        <f>IF(K22-1600000&gt;0,'Tax Table - DONT ALTER'!J59,K22-1100000)*R22</f>
        <v>-247000</v>
      </c>
      <c r="T22" s="20">
        <f t="shared" si="19"/>
        <v>0.21</v>
      </c>
      <c r="U22" s="16">
        <f>IF(K22-3200000&gt;0,'Tax Table - DONT ALTER'!L59,K22-1600000)*T22</f>
        <v>-378000</v>
      </c>
      <c r="V22" s="20">
        <f t="shared" si="17"/>
        <v>0.24</v>
      </c>
      <c r="W22" s="30">
        <f t="shared" si="20"/>
        <v>0</v>
      </c>
      <c r="X22" s="5">
        <f t="shared" si="0"/>
        <v>0</v>
      </c>
      <c r="Y22" s="90">
        <f t="shared" si="27"/>
        <v>0</v>
      </c>
      <c r="Z22" s="96">
        <f t="shared" si="28"/>
        <v>0</v>
      </c>
      <c r="AA22" s="85">
        <f t="shared" si="6"/>
        <v>0</v>
      </c>
      <c r="AB22" s="93">
        <f t="shared" si="18"/>
        <v>0</v>
      </c>
      <c r="AC22" s="92">
        <f t="shared" si="7"/>
        <v>0</v>
      </c>
      <c r="AD22" s="93">
        <f t="shared" si="1"/>
        <v>0</v>
      </c>
      <c r="AE22" s="92">
        <f t="shared" si="8"/>
        <v>0</v>
      </c>
      <c r="AF22" s="93">
        <f t="shared" si="23"/>
        <v>0</v>
      </c>
      <c r="AG22" s="92">
        <f t="shared" si="9"/>
        <v>0</v>
      </c>
      <c r="AH22" s="104">
        <f t="shared" si="24"/>
        <v>0</v>
      </c>
      <c r="AI22" s="97">
        <f t="shared" si="25"/>
        <v>0</v>
      </c>
    </row>
    <row r="23" spans="2:35" x14ac:dyDescent="0.3">
      <c r="B23" s="77">
        <f t="shared" si="12"/>
        <v>15</v>
      </c>
      <c r="C23" s="53"/>
      <c r="D23" s="48">
        <f>Payroll_Raw!D21</f>
        <v>0</v>
      </c>
      <c r="E23" s="48">
        <f>Payroll_Raw!G62</f>
        <v>0</v>
      </c>
      <c r="F23" s="40"/>
      <c r="G23" s="38">
        <f t="shared" si="26"/>
        <v>0</v>
      </c>
      <c r="H23" s="34">
        <f t="shared" si="29"/>
        <v>0</v>
      </c>
      <c r="I23" s="39">
        <f t="shared" si="3"/>
        <v>200000</v>
      </c>
      <c r="J23" s="35">
        <f t="shared" si="4"/>
        <v>200000</v>
      </c>
      <c r="K23" s="37">
        <f t="shared" si="5"/>
        <v>-200000</v>
      </c>
      <c r="L23" s="15">
        <f t="shared" si="13"/>
        <v>7.0000000000000007E-2</v>
      </c>
      <c r="M23" s="9">
        <f>IF(K23-300000&gt;0,'Tax Table - DONT ALTER'!D60,K23)*L23</f>
        <v>-14000.000000000002</v>
      </c>
      <c r="N23" s="10">
        <f t="shared" si="14"/>
        <v>0.11</v>
      </c>
      <c r="O23" s="16">
        <f>IF(K23-600000&gt;0,'Tax Table - DONT ALTER'!F60,K23-300000)*N23</f>
        <v>-55000</v>
      </c>
      <c r="P23" s="20">
        <f t="shared" si="15"/>
        <v>0.15</v>
      </c>
      <c r="Q23" s="16">
        <f>IF(K23-1100000&gt;0,'Tax Table - DONT ALTER'!H61,K23-600000)*P23</f>
        <v>-120000</v>
      </c>
      <c r="R23" s="20">
        <f t="shared" si="16"/>
        <v>0.19</v>
      </c>
      <c r="S23" s="16">
        <f>IF(K23-1600000&gt;0,'Tax Table - DONT ALTER'!J60,K23-1100000)*R23</f>
        <v>-247000</v>
      </c>
      <c r="T23" s="20">
        <f t="shared" si="19"/>
        <v>0.21</v>
      </c>
      <c r="U23" s="16">
        <f>IF(K23-3200000&gt;0,'Tax Table - DONT ALTER'!L60,K23-1600000)*T23</f>
        <v>-378000</v>
      </c>
      <c r="V23" s="20">
        <f t="shared" si="17"/>
        <v>0.24</v>
      </c>
      <c r="W23" s="30">
        <f t="shared" si="20"/>
        <v>0</v>
      </c>
      <c r="X23" s="5">
        <f t="shared" si="0"/>
        <v>0</v>
      </c>
      <c r="Y23" s="90">
        <f t="shared" si="27"/>
        <v>0</v>
      </c>
      <c r="Z23" s="96">
        <f t="shared" si="28"/>
        <v>0</v>
      </c>
      <c r="AA23" s="85">
        <f t="shared" si="6"/>
        <v>0</v>
      </c>
      <c r="AB23" s="93">
        <f t="shared" si="18"/>
        <v>0</v>
      </c>
      <c r="AC23" s="92">
        <f t="shared" si="7"/>
        <v>0</v>
      </c>
      <c r="AD23" s="93">
        <f t="shared" si="1"/>
        <v>0</v>
      </c>
      <c r="AE23" s="92">
        <f t="shared" si="8"/>
        <v>0</v>
      </c>
      <c r="AF23" s="93">
        <f t="shared" si="23"/>
        <v>0</v>
      </c>
      <c r="AG23" s="92">
        <f t="shared" si="9"/>
        <v>0</v>
      </c>
      <c r="AH23" s="104">
        <f t="shared" si="24"/>
        <v>0</v>
      </c>
      <c r="AI23" s="97">
        <f t="shared" si="25"/>
        <v>0</v>
      </c>
    </row>
    <row r="24" spans="2:35" x14ac:dyDescent="0.3">
      <c r="B24" s="77">
        <f t="shared" si="12"/>
        <v>16</v>
      </c>
      <c r="C24" s="53"/>
      <c r="D24" s="48">
        <f>Payroll_Raw!D22</f>
        <v>0</v>
      </c>
      <c r="E24" s="48">
        <f>Payroll_Raw!G63</f>
        <v>0</v>
      </c>
      <c r="F24" s="40"/>
      <c r="G24" s="38">
        <f t="shared" si="26"/>
        <v>0</v>
      </c>
      <c r="H24" s="34">
        <f t="shared" si="29"/>
        <v>0</v>
      </c>
      <c r="I24" s="39">
        <f t="shared" si="3"/>
        <v>200000</v>
      </c>
      <c r="J24" s="35">
        <f t="shared" si="4"/>
        <v>200000</v>
      </c>
      <c r="K24" s="37">
        <f t="shared" si="5"/>
        <v>-200000</v>
      </c>
      <c r="L24" s="15">
        <f>L22</f>
        <v>7.0000000000000007E-2</v>
      </c>
      <c r="M24" s="9">
        <f>IF(K24-300000&gt;0,'Tax Table - DONT ALTER'!D60,K24)*L24</f>
        <v>-14000.000000000002</v>
      </c>
      <c r="N24" s="10">
        <f>N22</f>
        <v>0.11</v>
      </c>
      <c r="O24" s="16">
        <f>IF(K24-600000&gt;0,'Tax Table - DONT ALTER'!F60,K24-300000)*N24</f>
        <v>-55000</v>
      </c>
      <c r="P24" s="20">
        <f>P22</f>
        <v>0.15</v>
      </c>
      <c r="Q24" s="16">
        <f>IF(K24-1100000&gt;0,'Tax Table - DONT ALTER'!H61,K24-600000)*P24</f>
        <v>-120000</v>
      </c>
      <c r="R24" s="20">
        <f>R22</f>
        <v>0.19</v>
      </c>
      <c r="S24" s="16">
        <f>IF(K24-1600000&gt;0,'Tax Table - DONT ALTER'!J60,K24-1100000)*R24</f>
        <v>-247000</v>
      </c>
      <c r="T24" s="20">
        <f>T22</f>
        <v>0.21</v>
      </c>
      <c r="U24" s="16">
        <f>IF(K24-3200000&gt;0,'Tax Table - DONT ALTER'!L60,K24-1600000)*T24</f>
        <v>-378000</v>
      </c>
      <c r="V24" s="20">
        <f>V22</f>
        <v>0.24</v>
      </c>
      <c r="W24" s="30">
        <f t="shared" si="20"/>
        <v>0</v>
      </c>
      <c r="X24" s="5">
        <f t="shared" si="0"/>
        <v>0</v>
      </c>
      <c r="Y24" s="90">
        <f t="shared" si="27"/>
        <v>0</v>
      </c>
      <c r="Z24" s="96">
        <f t="shared" si="28"/>
        <v>0</v>
      </c>
      <c r="AA24" s="85">
        <f t="shared" si="6"/>
        <v>0</v>
      </c>
      <c r="AB24" s="93">
        <f t="shared" si="18"/>
        <v>0</v>
      </c>
      <c r="AC24" s="92">
        <f t="shared" si="7"/>
        <v>0</v>
      </c>
      <c r="AD24" s="93">
        <f t="shared" si="1"/>
        <v>0</v>
      </c>
      <c r="AE24" s="92">
        <f t="shared" si="8"/>
        <v>0</v>
      </c>
      <c r="AF24" s="93">
        <f t="shared" si="23"/>
        <v>0</v>
      </c>
      <c r="AG24" s="92">
        <f t="shared" si="9"/>
        <v>0</v>
      </c>
      <c r="AH24" s="104">
        <f t="shared" si="24"/>
        <v>0</v>
      </c>
      <c r="AI24" s="97">
        <f t="shared" si="25"/>
        <v>0</v>
      </c>
    </row>
    <row r="25" spans="2:35" x14ac:dyDescent="0.3">
      <c r="B25" s="77">
        <f t="shared" si="12"/>
        <v>17</v>
      </c>
      <c r="C25" s="53"/>
      <c r="D25" s="48">
        <f>Payroll_Raw!D23</f>
        <v>0</v>
      </c>
      <c r="E25" s="48">
        <f>Payroll_Raw!G64</f>
        <v>0</v>
      </c>
      <c r="F25" s="40"/>
      <c r="G25" s="38">
        <f t="shared" si="26"/>
        <v>0</v>
      </c>
      <c r="H25" s="34">
        <f t="shared" si="29"/>
        <v>0</v>
      </c>
      <c r="I25" s="39">
        <f t="shared" si="3"/>
        <v>200000</v>
      </c>
      <c r="J25" s="35">
        <f t="shared" si="4"/>
        <v>200000</v>
      </c>
      <c r="K25" s="37">
        <f t="shared" si="5"/>
        <v>-200000</v>
      </c>
      <c r="L25" s="15">
        <f t="shared" si="13"/>
        <v>7.0000000000000007E-2</v>
      </c>
      <c r="M25" s="9">
        <f>IF(K25-300000&gt;0,'Tax Table - DONT ALTER'!D61,K25)*L25</f>
        <v>-14000.000000000002</v>
      </c>
      <c r="N25" s="10">
        <f t="shared" si="14"/>
        <v>0.11</v>
      </c>
      <c r="O25" s="16">
        <f>IF(K25-600000&gt;0,'Tax Table - DONT ALTER'!F61,K25-300000)*N25</f>
        <v>-55000</v>
      </c>
      <c r="P25" s="20">
        <f t="shared" si="15"/>
        <v>0.15</v>
      </c>
      <c r="Q25" s="16">
        <f>IF(K25-1100000&gt;0,'Tax Table - DONT ALTER'!H62,K25-600000)*P25</f>
        <v>-120000</v>
      </c>
      <c r="R25" s="20">
        <f t="shared" si="16"/>
        <v>0.19</v>
      </c>
      <c r="S25" s="16">
        <f>IF(K25-1600000&gt;0,'Tax Table - DONT ALTER'!J61,K25-1100000)*R25</f>
        <v>-247000</v>
      </c>
      <c r="T25" s="20">
        <f t="shared" si="19"/>
        <v>0.21</v>
      </c>
      <c r="U25" s="16">
        <f>IF(K25-3200000&gt;0,'Tax Table - DONT ALTER'!L61,K25-1600000)*T25</f>
        <v>-378000</v>
      </c>
      <c r="V25" s="20">
        <f t="shared" si="17"/>
        <v>0.24</v>
      </c>
      <c r="W25" s="30">
        <f t="shared" si="20"/>
        <v>0</v>
      </c>
      <c r="X25" s="5">
        <f t="shared" si="0"/>
        <v>0</v>
      </c>
      <c r="Y25" s="90">
        <f t="shared" si="27"/>
        <v>0</v>
      </c>
      <c r="Z25" s="96">
        <f t="shared" si="28"/>
        <v>0</v>
      </c>
      <c r="AA25" s="85">
        <f t="shared" si="6"/>
        <v>0</v>
      </c>
      <c r="AB25" s="93">
        <f t="shared" si="18"/>
        <v>0</v>
      </c>
      <c r="AC25" s="92">
        <f t="shared" si="7"/>
        <v>0</v>
      </c>
      <c r="AD25" s="93">
        <f t="shared" si="1"/>
        <v>0</v>
      </c>
      <c r="AE25" s="92">
        <f t="shared" si="8"/>
        <v>0</v>
      </c>
      <c r="AF25" s="93">
        <f t="shared" si="23"/>
        <v>0</v>
      </c>
      <c r="AG25" s="92">
        <f t="shared" si="9"/>
        <v>0</v>
      </c>
      <c r="AH25" s="104">
        <f t="shared" si="24"/>
        <v>0</v>
      </c>
      <c r="AI25" s="97">
        <f t="shared" si="25"/>
        <v>0</v>
      </c>
    </row>
    <row r="26" spans="2:35" x14ac:dyDescent="0.3">
      <c r="B26" s="77">
        <f t="shared" si="12"/>
        <v>18</v>
      </c>
      <c r="C26" s="53"/>
      <c r="D26" s="48">
        <f>Payroll_Raw!D24</f>
        <v>0</v>
      </c>
      <c r="E26" s="48">
        <f>Payroll_Raw!G65</f>
        <v>0</v>
      </c>
      <c r="F26" s="40"/>
      <c r="G26" s="38">
        <f t="shared" si="26"/>
        <v>0</v>
      </c>
      <c r="H26" s="34">
        <f t="shared" si="29"/>
        <v>0</v>
      </c>
      <c r="I26" s="39">
        <f t="shared" si="3"/>
        <v>200000</v>
      </c>
      <c r="J26" s="35">
        <f t="shared" si="4"/>
        <v>200000</v>
      </c>
      <c r="K26" s="37">
        <f t="shared" ref="K26:K37" si="30">F26-J26</f>
        <v>-200000</v>
      </c>
      <c r="L26" s="15">
        <f t="shared" si="13"/>
        <v>7.0000000000000007E-2</v>
      </c>
      <c r="M26" s="9">
        <f>IF(K26-300000&gt;0,'Tax Table - DONT ALTER'!D62,K26)*L26</f>
        <v>-14000.000000000002</v>
      </c>
      <c r="N26" s="10">
        <f t="shared" si="14"/>
        <v>0.11</v>
      </c>
      <c r="O26" s="16">
        <f>IF(K26-600000&gt;0,'Tax Table - DONT ALTER'!F62,K26-300000)*N26</f>
        <v>-55000</v>
      </c>
      <c r="P26" s="20">
        <f t="shared" si="15"/>
        <v>0.15</v>
      </c>
      <c r="Q26" s="16">
        <f>IF(K26-1100000&gt;0,'Tax Table - DONT ALTER'!H63,K26-600000)*P26</f>
        <v>-120000</v>
      </c>
      <c r="R26" s="20">
        <f t="shared" si="16"/>
        <v>0.19</v>
      </c>
      <c r="S26" s="16">
        <f>IF(K26-1600000&gt;0,'Tax Table - DONT ALTER'!J62,K26-1100000)*R26</f>
        <v>-247000</v>
      </c>
      <c r="T26" s="20">
        <f t="shared" si="19"/>
        <v>0.21</v>
      </c>
      <c r="U26" s="16">
        <f>IF(K26-3200000&gt;0,'Tax Table - DONT ALTER'!L62,K26-1600000)*T26</f>
        <v>-378000</v>
      </c>
      <c r="V26" s="20">
        <f t="shared" si="17"/>
        <v>0.24</v>
      </c>
      <c r="W26" s="30">
        <f t="shared" si="20"/>
        <v>0</v>
      </c>
      <c r="X26" s="5">
        <f t="shared" si="0"/>
        <v>0</v>
      </c>
      <c r="Y26" s="90">
        <f t="shared" si="27"/>
        <v>0</v>
      </c>
      <c r="Z26" s="96">
        <f t="shared" si="28"/>
        <v>0</v>
      </c>
      <c r="AA26" s="85">
        <f t="shared" si="6"/>
        <v>0</v>
      </c>
      <c r="AB26" s="93">
        <f t="shared" si="18"/>
        <v>0</v>
      </c>
      <c r="AC26" s="92">
        <f t="shared" si="7"/>
        <v>0</v>
      </c>
      <c r="AD26" s="93">
        <f t="shared" si="1"/>
        <v>0</v>
      </c>
      <c r="AE26" s="92">
        <f t="shared" si="8"/>
        <v>0</v>
      </c>
      <c r="AF26" s="93">
        <f t="shared" si="23"/>
        <v>0</v>
      </c>
      <c r="AG26" s="92">
        <f t="shared" si="9"/>
        <v>0</v>
      </c>
      <c r="AH26" s="104">
        <f t="shared" si="24"/>
        <v>0</v>
      </c>
      <c r="AI26" s="97">
        <f t="shared" si="25"/>
        <v>0</v>
      </c>
    </row>
    <row r="27" spans="2:35" x14ac:dyDescent="0.3">
      <c r="B27" s="77">
        <f t="shared" si="12"/>
        <v>19</v>
      </c>
      <c r="C27" s="53"/>
      <c r="D27" s="48">
        <f>Payroll_Raw!D25</f>
        <v>0</v>
      </c>
      <c r="E27" s="48">
        <f>Payroll_Raw!G66</f>
        <v>0</v>
      </c>
      <c r="F27" s="40"/>
      <c r="G27" s="38">
        <f t="shared" si="26"/>
        <v>0</v>
      </c>
      <c r="H27" s="34">
        <f t="shared" si="29"/>
        <v>0</v>
      </c>
      <c r="I27" s="39">
        <f t="shared" si="3"/>
        <v>200000</v>
      </c>
      <c r="J27" s="35">
        <f t="shared" si="4"/>
        <v>200000</v>
      </c>
      <c r="K27" s="37">
        <f t="shared" si="30"/>
        <v>-200000</v>
      </c>
      <c r="L27" s="15">
        <f t="shared" si="13"/>
        <v>7.0000000000000007E-2</v>
      </c>
      <c r="M27" s="9">
        <f>IF(K27-300000&gt;0,'Tax Table - DONT ALTER'!D63,K27)*L27</f>
        <v>-14000.000000000002</v>
      </c>
      <c r="N27" s="10">
        <f t="shared" si="14"/>
        <v>0.11</v>
      </c>
      <c r="O27" s="16">
        <f>IF(K27-600000&gt;0,'Tax Table - DONT ALTER'!F63,K27-300000)*N27</f>
        <v>-55000</v>
      </c>
      <c r="P27" s="20">
        <f t="shared" si="15"/>
        <v>0.15</v>
      </c>
      <c r="Q27" s="16">
        <f>IF(K27-1100000&gt;0,'Tax Table - DONT ALTER'!H64,K27-600000)*P27</f>
        <v>-120000</v>
      </c>
      <c r="R27" s="20">
        <f t="shared" si="16"/>
        <v>0.19</v>
      </c>
      <c r="S27" s="16">
        <f>IF(K27-1600000&gt;0,'Tax Table - DONT ALTER'!J63,K27-1100000)*R27</f>
        <v>-247000</v>
      </c>
      <c r="T27" s="20">
        <f t="shared" si="19"/>
        <v>0.21</v>
      </c>
      <c r="U27" s="16">
        <f>IF(K27-3200000&gt;0,'Tax Table - DONT ALTER'!L63,K27-1600000)*T27</f>
        <v>-378000</v>
      </c>
      <c r="V27" s="20">
        <f t="shared" si="17"/>
        <v>0.24</v>
      </c>
      <c r="W27" s="30">
        <f t="shared" si="20"/>
        <v>0</v>
      </c>
      <c r="X27" s="5">
        <f t="shared" si="0"/>
        <v>0</v>
      </c>
      <c r="Y27" s="90">
        <f t="shared" si="27"/>
        <v>0</v>
      </c>
      <c r="Z27" s="96">
        <f t="shared" si="28"/>
        <v>0</v>
      </c>
      <c r="AA27" s="85">
        <f t="shared" si="6"/>
        <v>0</v>
      </c>
      <c r="AB27" s="93">
        <f t="shared" si="18"/>
        <v>0</v>
      </c>
      <c r="AC27" s="92">
        <f t="shared" si="7"/>
        <v>0</v>
      </c>
      <c r="AD27" s="93">
        <f t="shared" si="1"/>
        <v>0</v>
      </c>
      <c r="AE27" s="92">
        <f t="shared" si="8"/>
        <v>0</v>
      </c>
      <c r="AF27" s="93">
        <f t="shared" si="23"/>
        <v>0</v>
      </c>
      <c r="AG27" s="92">
        <f t="shared" si="9"/>
        <v>0</v>
      </c>
      <c r="AH27" s="104">
        <f t="shared" si="24"/>
        <v>0</v>
      </c>
      <c r="AI27" s="97">
        <f t="shared" si="25"/>
        <v>0</v>
      </c>
    </row>
    <row r="28" spans="2:35" x14ac:dyDescent="0.3">
      <c r="B28" s="77">
        <f t="shared" si="12"/>
        <v>20</v>
      </c>
      <c r="C28" s="53"/>
      <c r="D28" s="48">
        <f>Payroll_Raw!D26</f>
        <v>0</v>
      </c>
      <c r="E28" s="48">
        <f>Payroll_Raw!G67</f>
        <v>0</v>
      </c>
      <c r="F28" s="40"/>
      <c r="G28" s="38">
        <f t="shared" si="26"/>
        <v>0</v>
      </c>
      <c r="H28" s="34">
        <f t="shared" si="29"/>
        <v>0</v>
      </c>
      <c r="I28" s="39">
        <f t="shared" si="3"/>
        <v>200000</v>
      </c>
      <c r="J28" s="35">
        <f t="shared" si="4"/>
        <v>200000</v>
      </c>
      <c r="K28" s="37">
        <f t="shared" si="30"/>
        <v>-200000</v>
      </c>
      <c r="L28" s="15">
        <f t="shared" si="13"/>
        <v>7.0000000000000007E-2</v>
      </c>
      <c r="M28" s="9">
        <f>IF(K28-300000&gt;0,'Tax Table - DONT ALTER'!D64,K28)*L28</f>
        <v>-14000.000000000002</v>
      </c>
      <c r="N28" s="10">
        <f t="shared" si="14"/>
        <v>0.11</v>
      </c>
      <c r="O28" s="16">
        <f>IF(K28-600000&gt;0,'Tax Table - DONT ALTER'!F64,K28-300000)*N28</f>
        <v>-55000</v>
      </c>
      <c r="P28" s="20">
        <f t="shared" si="15"/>
        <v>0.15</v>
      </c>
      <c r="Q28" s="16">
        <f>IF(K28-1100000&gt;0,'Tax Table - DONT ALTER'!H65,K28-600000)*P28</f>
        <v>-120000</v>
      </c>
      <c r="R28" s="20">
        <f t="shared" si="16"/>
        <v>0.19</v>
      </c>
      <c r="S28" s="16">
        <f>IF(K28-1600000&gt;0,'Tax Table - DONT ALTER'!J64,K28-1100000)*R28</f>
        <v>-247000</v>
      </c>
      <c r="T28" s="20">
        <f t="shared" si="19"/>
        <v>0.21</v>
      </c>
      <c r="U28" s="16">
        <f>IF(K28-3200000&gt;0,'Tax Table - DONT ALTER'!L64,K28-1600000)*T28</f>
        <v>-378000</v>
      </c>
      <c r="V28" s="20">
        <f t="shared" si="17"/>
        <v>0.24</v>
      </c>
      <c r="W28" s="30">
        <f t="shared" si="20"/>
        <v>0</v>
      </c>
      <c r="X28" s="5">
        <f t="shared" si="0"/>
        <v>0</v>
      </c>
      <c r="Y28" s="90">
        <f t="shared" si="27"/>
        <v>0</v>
      </c>
      <c r="Z28" s="96">
        <f t="shared" si="28"/>
        <v>0</v>
      </c>
      <c r="AA28" s="85">
        <f t="shared" si="6"/>
        <v>0</v>
      </c>
      <c r="AB28" s="93">
        <f t="shared" si="18"/>
        <v>0</v>
      </c>
      <c r="AC28" s="92">
        <f t="shared" si="7"/>
        <v>0</v>
      </c>
      <c r="AD28" s="93">
        <f t="shared" si="1"/>
        <v>0</v>
      </c>
      <c r="AE28" s="92">
        <f t="shared" si="8"/>
        <v>0</v>
      </c>
      <c r="AF28" s="93">
        <f t="shared" si="23"/>
        <v>0</v>
      </c>
      <c r="AG28" s="92">
        <f t="shared" si="9"/>
        <v>0</v>
      </c>
      <c r="AH28" s="104">
        <f t="shared" si="24"/>
        <v>0</v>
      </c>
      <c r="AI28" s="97">
        <f t="shared" si="25"/>
        <v>0</v>
      </c>
    </row>
    <row r="29" spans="2:35" x14ac:dyDescent="0.3">
      <c r="B29" s="77">
        <f t="shared" si="12"/>
        <v>21</v>
      </c>
      <c r="C29" s="53"/>
      <c r="D29" s="48">
        <f>Payroll_Raw!D27</f>
        <v>0</v>
      </c>
      <c r="E29" s="48">
        <f>Payroll_Raw!G68</f>
        <v>0</v>
      </c>
      <c r="F29" s="40"/>
      <c r="G29" s="38">
        <f t="shared" si="26"/>
        <v>0</v>
      </c>
      <c r="H29" s="34">
        <f t="shared" si="29"/>
        <v>0</v>
      </c>
      <c r="I29" s="39">
        <f t="shared" si="3"/>
        <v>200000</v>
      </c>
      <c r="J29" s="35">
        <f t="shared" si="4"/>
        <v>200000</v>
      </c>
      <c r="K29" s="37">
        <f t="shared" si="30"/>
        <v>-200000</v>
      </c>
      <c r="L29" s="15">
        <f t="shared" si="13"/>
        <v>7.0000000000000007E-2</v>
      </c>
      <c r="M29" s="9">
        <f>IF(K29-300000&gt;0,'Tax Table - DONT ALTER'!D65,K29)*L29</f>
        <v>-14000.000000000002</v>
      </c>
      <c r="N29" s="10">
        <f t="shared" si="14"/>
        <v>0.11</v>
      </c>
      <c r="O29" s="16">
        <f>IF(K29-600000&gt;0,'Tax Table - DONT ALTER'!F65,K29-300000)*N29</f>
        <v>-55000</v>
      </c>
      <c r="P29" s="20">
        <f t="shared" si="15"/>
        <v>0.15</v>
      </c>
      <c r="Q29" s="16">
        <f>IF(K29-1100000&gt;0,'Tax Table - DONT ALTER'!H66,K29-600000)*P29</f>
        <v>-120000</v>
      </c>
      <c r="R29" s="20">
        <f t="shared" si="16"/>
        <v>0.19</v>
      </c>
      <c r="S29" s="16">
        <f>IF(K29-1600000&gt;0,'Tax Table - DONT ALTER'!J65,K29-1100000)*R29</f>
        <v>-247000</v>
      </c>
      <c r="T29" s="20">
        <f t="shared" si="19"/>
        <v>0.21</v>
      </c>
      <c r="U29" s="16">
        <f>IF(K29-3200000&gt;0,'Tax Table - DONT ALTER'!L65,K29-1600000)*T29</f>
        <v>-378000</v>
      </c>
      <c r="V29" s="20">
        <f t="shared" si="17"/>
        <v>0.24</v>
      </c>
      <c r="W29" s="30">
        <f t="shared" si="20"/>
        <v>0</v>
      </c>
      <c r="X29" s="5">
        <f t="shared" si="0"/>
        <v>0</v>
      </c>
      <c r="Y29" s="90">
        <f t="shared" si="27"/>
        <v>0</v>
      </c>
      <c r="Z29" s="96">
        <f t="shared" si="28"/>
        <v>0</v>
      </c>
      <c r="AA29" s="85">
        <f t="shared" si="6"/>
        <v>0</v>
      </c>
      <c r="AB29" s="93">
        <f t="shared" si="18"/>
        <v>0</v>
      </c>
      <c r="AC29" s="92">
        <f t="shared" si="7"/>
        <v>0</v>
      </c>
      <c r="AD29" s="93">
        <f t="shared" si="1"/>
        <v>0</v>
      </c>
      <c r="AE29" s="92">
        <f t="shared" si="8"/>
        <v>0</v>
      </c>
      <c r="AF29" s="93">
        <f t="shared" si="23"/>
        <v>0</v>
      </c>
      <c r="AG29" s="92">
        <f t="shared" si="9"/>
        <v>0</v>
      </c>
      <c r="AH29" s="104">
        <f t="shared" si="24"/>
        <v>0</v>
      </c>
      <c r="AI29" s="97">
        <f t="shared" si="25"/>
        <v>0</v>
      </c>
    </row>
    <row r="30" spans="2:35" x14ac:dyDescent="0.3">
      <c r="B30" s="77">
        <f t="shared" si="12"/>
        <v>22</v>
      </c>
      <c r="C30" s="53"/>
      <c r="D30" s="48">
        <f>Payroll_Raw!D28</f>
        <v>0</v>
      </c>
      <c r="E30" s="48">
        <f>Payroll_Raw!G69</f>
        <v>0</v>
      </c>
      <c r="F30" s="40"/>
      <c r="G30" s="38">
        <f t="shared" si="26"/>
        <v>0</v>
      </c>
      <c r="H30" s="34">
        <f t="shared" si="29"/>
        <v>0</v>
      </c>
      <c r="I30" s="39">
        <f t="shared" si="3"/>
        <v>200000</v>
      </c>
      <c r="J30" s="35">
        <f t="shared" si="4"/>
        <v>200000</v>
      </c>
      <c r="K30" s="37">
        <f t="shared" si="30"/>
        <v>-200000</v>
      </c>
      <c r="L30" s="15">
        <f t="shared" si="13"/>
        <v>7.0000000000000007E-2</v>
      </c>
      <c r="M30" s="9">
        <f>IF(K30-300000&gt;0,'Tax Table - DONT ALTER'!D66,K30)*L30</f>
        <v>-14000.000000000002</v>
      </c>
      <c r="N30" s="10">
        <f t="shared" si="14"/>
        <v>0.11</v>
      </c>
      <c r="O30" s="16">
        <f>IF(K30-600000&gt;0,'Tax Table - DONT ALTER'!F66,K30-300000)*N30</f>
        <v>-55000</v>
      </c>
      <c r="P30" s="20">
        <f t="shared" si="15"/>
        <v>0.15</v>
      </c>
      <c r="Q30" s="16">
        <f>IF(K30-1100000&gt;0,'Tax Table - DONT ALTER'!H67,K30-600000)*P30</f>
        <v>-120000</v>
      </c>
      <c r="R30" s="20">
        <f t="shared" si="16"/>
        <v>0.19</v>
      </c>
      <c r="S30" s="16">
        <f>IF(K30-1600000&gt;0,'Tax Table - DONT ALTER'!J66,K30-1100000)*R30</f>
        <v>-247000</v>
      </c>
      <c r="T30" s="20">
        <f t="shared" si="19"/>
        <v>0.21</v>
      </c>
      <c r="U30" s="16">
        <f>IF(K30-3200000&gt;0,'Tax Table - DONT ALTER'!L66,K30-1600000)*T30</f>
        <v>-378000</v>
      </c>
      <c r="V30" s="20">
        <f t="shared" si="17"/>
        <v>0.24</v>
      </c>
      <c r="W30" s="30">
        <f t="shared" si="20"/>
        <v>0</v>
      </c>
      <c r="X30" s="5">
        <f t="shared" si="0"/>
        <v>0</v>
      </c>
      <c r="Y30" s="90">
        <f t="shared" si="27"/>
        <v>0</v>
      </c>
      <c r="Z30" s="96">
        <f t="shared" si="28"/>
        <v>0</v>
      </c>
      <c r="AA30" s="85">
        <f t="shared" si="6"/>
        <v>0</v>
      </c>
      <c r="AB30" s="93">
        <f t="shared" si="18"/>
        <v>0</v>
      </c>
      <c r="AC30" s="92">
        <f t="shared" si="7"/>
        <v>0</v>
      </c>
      <c r="AD30" s="93">
        <f t="shared" si="1"/>
        <v>0</v>
      </c>
      <c r="AE30" s="92">
        <f t="shared" si="8"/>
        <v>0</v>
      </c>
      <c r="AF30" s="93">
        <f t="shared" si="23"/>
        <v>0</v>
      </c>
      <c r="AG30" s="92">
        <f t="shared" si="9"/>
        <v>0</v>
      </c>
      <c r="AH30" s="104">
        <f t="shared" si="24"/>
        <v>0</v>
      </c>
      <c r="AI30" s="97">
        <f t="shared" si="25"/>
        <v>0</v>
      </c>
    </row>
    <row r="31" spans="2:35" x14ac:dyDescent="0.3">
      <c r="B31" s="77">
        <f t="shared" si="12"/>
        <v>23</v>
      </c>
      <c r="C31" s="53"/>
      <c r="D31" s="48">
        <f>Payroll_Raw!D29</f>
        <v>0</v>
      </c>
      <c r="E31" s="48">
        <f>Payroll_Raw!G70</f>
        <v>0</v>
      </c>
      <c r="F31" s="40"/>
      <c r="G31" s="38">
        <f t="shared" si="26"/>
        <v>0</v>
      </c>
      <c r="H31" s="34">
        <f t="shared" si="29"/>
        <v>0</v>
      </c>
      <c r="I31" s="39">
        <f t="shared" si="3"/>
        <v>200000</v>
      </c>
      <c r="J31" s="35">
        <f t="shared" si="4"/>
        <v>200000</v>
      </c>
      <c r="K31" s="37">
        <f t="shared" si="30"/>
        <v>-200000</v>
      </c>
      <c r="L31" s="15">
        <f t="shared" si="13"/>
        <v>7.0000000000000007E-2</v>
      </c>
      <c r="M31" s="9">
        <f>IF(K31-300000&gt;0,'Tax Table - DONT ALTER'!D67,K31)*L31</f>
        <v>-14000.000000000002</v>
      </c>
      <c r="N31" s="10">
        <f t="shared" si="14"/>
        <v>0.11</v>
      </c>
      <c r="O31" s="16">
        <f>IF(K31-600000&gt;0,'Tax Table - DONT ALTER'!F67,K31-300000)*N31</f>
        <v>-55000</v>
      </c>
      <c r="P31" s="20">
        <f t="shared" si="15"/>
        <v>0.15</v>
      </c>
      <c r="Q31" s="16">
        <f>IF(K31-1100000&gt;0,'Tax Table - DONT ALTER'!H68,K31-600000)*P31</f>
        <v>-120000</v>
      </c>
      <c r="R31" s="20">
        <f t="shared" si="16"/>
        <v>0.19</v>
      </c>
      <c r="S31" s="16">
        <f>IF(K31-1600000&gt;0,'Tax Table - DONT ALTER'!J67,K31-1100000)*R31</f>
        <v>-247000</v>
      </c>
      <c r="T31" s="20">
        <f t="shared" si="19"/>
        <v>0.21</v>
      </c>
      <c r="U31" s="16">
        <f>IF(K31-3200000&gt;0,'Tax Table - DONT ALTER'!L67,K31-1600000)*T31</f>
        <v>-378000</v>
      </c>
      <c r="V31" s="20">
        <f t="shared" si="17"/>
        <v>0.24</v>
      </c>
      <c r="W31" s="30">
        <f t="shared" si="20"/>
        <v>0</v>
      </c>
      <c r="X31" s="5">
        <f t="shared" si="0"/>
        <v>0</v>
      </c>
      <c r="Y31" s="90">
        <f t="shared" si="27"/>
        <v>0</v>
      </c>
      <c r="Z31" s="96">
        <f t="shared" si="28"/>
        <v>0</v>
      </c>
      <c r="AA31" s="85">
        <f t="shared" si="6"/>
        <v>0</v>
      </c>
      <c r="AB31" s="93">
        <f t="shared" si="18"/>
        <v>0</v>
      </c>
      <c r="AC31" s="92">
        <f t="shared" si="7"/>
        <v>0</v>
      </c>
      <c r="AD31" s="93">
        <f t="shared" si="1"/>
        <v>0</v>
      </c>
      <c r="AE31" s="92">
        <f t="shared" si="8"/>
        <v>0</v>
      </c>
      <c r="AF31" s="93">
        <f t="shared" si="23"/>
        <v>0</v>
      </c>
      <c r="AG31" s="92">
        <f t="shared" si="9"/>
        <v>0</v>
      </c>
      <c r="AH31" s="104">
        <f t="shared" si="24"/>
        <v>0</v>
      </c>
      <c r="AI31" s="97">
        <f t="shared" si="25"/>
        <v>0</v>
      </c>
    </row>
    <row r="32" spans="2:35" x14ac:dyDescent="0.3">
      <c r="B32" s="77">
        <f t="shared" si="12"/>
        <v>24</v>
      </c>
      <c r="C32" s="53"/>
      <c r="D32" s="48">
        <f>Payroll_Raw!D30</f>
        <v>0</v>
      </c>
      <c r="E32" s="48">
        <f>Payroll_Raw!G71</f>
        <v>0</v>
      </c>
      <c r="F32" s="40"/>
      <c r="G32" s="38">
        <f t="shared" si="26"/>
        <v>0</v>
      </c>
      <c r="H32" s="34">
        <f t="shared" si="29"/>
        <v>0</v>
      </c>
      <c r="I32" s="39">
        <f t="shared" si="3"/>
        <v>200000</v>
      </c>
      <c r="J32" s="35">
        <f t="shared" si="4"/>
        <v>200000</v>
      </c>
      <c r="K32" s="37">
        <f t="shared" si="30"/>
        <v>-200000</v>
      </c>
      <c r="L32" s="15">
        <f t="shared" si="13"/>
        <v>7.0000000000000007E-2</v>
      </c>
      <c r="M32" s="9">
        <f>IF(K32-300000&gt;0,'Tax Table - DONT ALTER'!D68,K32)*L32</f>
        <v>-14000.000000000002</v>
      </c>
      <c r="N32" s="10">
        <f t="shared" si="14"/>
        <v>0.11</v>
      </c>
      <c r="O32" s="16">
        <f>IF(K32-600000&gt;0,'Tax Table - DONT ALTER'!F68,K32-300000)*N32</f>
        <v>-55000</v>
      </c>
      <c r="P32" s="20">
        <f t="shared" si="15"/>
        <v>0.15</v>
      </c>
      <c r="Q32" s="16">
        <f>IF(K32-1100000&gt;0,'Tax Table - DONT ALTER'!H69,K32-600000)*P32</f>
        <v>-120000</v>
      </c>
      <c r="R32" s="20">
        <f t="shared" si="16"/>
        <v>0.19</v>
      </c>
      <c r="S32" s="16">
        <f>IF(K32-1600000&gt;0,'Tax Table - DONT ALTER'!J68,K32-1100000)*R32</f>
        <v>-247000</v>
      </c>
      <c r="T32" s="20">
        <f t="shared" si="19"/>
        <v>0.21</v>
      </c>
      <c r="U32" s="16">
        <f>IF(K32-3200000&gt;0,'Tax Table - DONT ALTER'!L68,K32-1600000)*T32</f>
        <v>-378000</v>
      </c>
      <c r="V32" s="20">
        <f t="shared" si="17"/>
        <v>0.24</v>
      </c>
      <c r="W32" s="30">
        <f t="shared" si="20"/>
        <v>0</v>
      </c>
      <c r="X32" s="5">
        <f t="shared" si="0"/>
        <v>0</v>
      </c>
      <c r="Y32" s="90">
        <f t="shared" si="27"/>
        <v>0</v>
      </c>
      <c r="Z32" s="96">
        <f t="shared" si="28"/>
        <v>0</v>
      </c>
      <c r="AA32" s="85">
        <f t="shared" si="6"/>
        <v>0</v>
      </c>
      <c r="AB32" s="91"/>
      <c r="AC32" s="92">
        <f t="shared" si="7"/>
        <v>0</v>
      </c>
      <c r="AD32" s="93">
        <f t="shared" si="1"/>
        <v>0</v>
      </c>
      <c r="AE32" s="92">
        <f t="shared" si="8"/>
        <v>0</v>
      </c>
      <c r="AF32" s="93">
        <f t="shared" si="23"/>
        <v>0</v>
      </c>
      <c r="AG32" s="92">
        <f t="shared" si="9"/>
        <v>0</v>
      </c>
      <c r="AH32" s="104">
        <f t="shared" si="24"/>
        <v>0</v>
      </c>
      <c r="AI32" s="97">
        <f t="shared" si="25"/>
        <v>0</v>
      </c>
    </row>
    <row r="33" spans="2:35" x14ac:dyDescent="0.3">
      <c r="B33" s="77">
        <f t="shared" si="12"/>
        <v>25</v>
      </c>
      <c r="C33" s="53"/>
      <c r="D33" s="48">
        <f>Payroll_Raw!D31</f>
        <v>0</v>
      </c>
      <c r="E33" s="48">
        <f>Payroll_Raw!G72</f>
        <v>0</v>
      </c>
      <c r="F33" s="40"/>
      <c r="G33" s="38">
        <f t="shared" si="26"/>
        <v>0</v>
      </c>
      <c r="H33" s="34">
        <f t="shared" si="29"/>
        <v>0</v>
      </c>
      <c r="I33" s="39">
        <f t="shared" si="3"/>
        <v>200000</v>
      </c>
      <c r="J33" s="35">
        <f t="shared" si="4"/>
        <v>200000</v>
      </c>
      <c r="K33" s="37">
        <f t="shared" si="30"/>
        <v>-200000</v>
      </c>
      <c r="L33" s="15">
        <f t="shared" si="13"/>
        <v>7.0000000000000007E-2</v>
      </c>
      <c r="M33" s="9">
        <f>IF(K33-300000&gt;0,'Tax Table - DONT ALTER'!D69,K33)*L33</f>
        <v>-14000.000000000002</v>
      </c>
      <c r="N33" s="10">
        <f t="shared" si="14"/>
        <v>0.11</v>
      </c>
      <c r="O33" s="16">
        <f>IF(K33-600000&gt;0,'Tax Table - DONT ALTER'!F69,K33-300000)*N33</f>
        <v>-55000</v>
      </c>
      <c r="P33" s="20">
        <f t="shared" si="15"/>
        <v>0.15</v>
      </c>
      <c r="Q33" s="16">
        <f>IF(K33-1100000&gt;0,'Tax Table - DONT ALTER'!H70,K33-600000)*P33</f>
        <v>-120000</v>
      </c>
      <c r="R33" s="20">
        <f t="shared" si="16"/>
        <v>0.19</v>
      </c>
      <c r="S33" s="16">
        <f>IF(K33-1600000&gt;0,'Tax Table - DONT ALTER'!J69,K33-1100000)*R33</f>
        <v>-247000</v>
      </c>
      <c r="T33" s="20">
        <f t="shared" si="19"/>
        <v>0.21</v>
      </c>
      <c r="U33" s="16">
        <f>IF(K33-3200000&gt;0,'Tax Table - DONT ALTER'!L69,K33-1600000)*T33</f>
        <v>-378000</v>
      </c>
      <c r="V33" s="20">
        <f t="shared" si="17"/>
        <v>0.24</v>
      </c>
      <c r="W33" s="30">
        <f t="shared" si="20"/>
        <v>0</v>
      </c>
      <c r="X33" s="5">
        <f t="shared" si="0"/>
        <v>0</v>
      </c>
      <c r="Y33" s="90">
        <f t="shared" si="27"/>
        <v>0</v>
      </c>
      <c r="Z33" s="96">
        <f t="shared" si="28"/>
        <v>0</v>
      </c>
      <c r="AA33" s="85">
        <f t="shared" si="6"/>
        <v>0</v>
      </c>
      <c r="AB33" s="91"/>
      <c r="AC33" s="92">
        <f t="shared" si="7"/>
        <v>0</v>
      </c>
      <c r="AD33" s="93">
        <f t="shared" si="1"/>
        <v>0</v>
      </c>
      <c r="AE33" s="92">
        <f t="shared" si="8"/>
        <v>0</v>
      </c>
      <c r="AF33" s="93">
        <f t="shared" si="23"/>
        <v>0</v>
      </c>
      <c r="AG33" s="92">
        <f t="shared" si="9"/>
        <v>0</v>
      </c>
      <c r="AH33" s="104">
        <f t="shared" si="24"/>
        <v>0</v>
      </c>
      <c r="AI33" s="97">
        <f t="shared" si="25"/>
        <v>0</v>
      </c>
    </row>
    <row r="34" spans="2:35" s="1" customFormat="1" x14ac:dyDescent="0.3">
      <c r="B34" s="77">
        <f t="shared" si="12"/>
        <v>26</v>
      </c>
      <c r="C34" s="53"/>
      <c r="D34" s="48">
        <f>Payroll_Raw!D32</f>
        <v>0</v>
      </c>
      <c r="E34" s="48">
        <f>Payroll_Raw!G73</f>
        <v>0</v>
      </c>
      <c r="F34" s="40"/>
      <c r="G34" s="38">
        <f t="shared" si="26"/>
        <v>0</v>
      </c>
      <c r="H34" s="34">
        <f t="shared" si="29"/>
        <v>0</v>
      </c>
      <c r="I34" s="39">
        <f t="shared" si="3"/>
        <v>200000</v>
      </c>
      <c r="J34" s="35">
        <f t="shared" si="4"/>
        <v>200000</v>
      </c>
      <c r="K34" s="37">
        <f t="shared" si="30"/>
        <v>-200000</v>
      </c>
      <c r="L34" s="15">
        <f t="shared" si="13"/>
        <v>7.0000000000000007E-2</v>
      </c>
      <c r="M34" s="9">
        <f>IF(K34-300000&gt;0,'Tax Table - DONT ALTER'!D70,K34)*L34</f>
        <v>-14000.000000000002</v>
      </c>
      <c r="N34" s="10">
        <f t="shared" si="14"/>
        <v>0.11</v>
      </c>
      <c r="O34" s="16">
        <f>IF(K34-600000&gt;0,'Tax Table - DONT ALTER'!F70,K34-300000)*N34</f>
        <v>-55000</v>
      </c>
      <c r="P34" s="20">
        <f t="shared" si="15"/>
        <v>0.15</v>
      </c>
      <c r="Q34" s="16">
        <f>IF(K34-1100000&gt;0,'Tax Table - DONT ALTER'!H71,K34-600000)*P34</f>
        <v>-120000</v>
      </c>
      <c r="R34" s="20">
        <f t="shared" si="16"/>
        <v>0.19</v>
      </c>
      <c r="S34" s="16">
        <f>IF(K34-1600000&gt;0,'Tax Table - DONT ALTER'!J70,K34-1100000)*R34</f>
        <v>-247000</v>
      </c>
      <c r="T34" s="20">
        <f t="shared" si="19"/>
        <v>0.21</v>
      </c>
      <c r="U34" s="16">
        <f>IF(K34-3200000&gt;0,'Tax Table - DONT ALTER'!L70,K34-1600000)*T34</f>
        <v>-378000</v>
      </c>
      <c r="V34" s="20">
        <f t="shared" si="17"/>
        <v>0.24</v>
      </c>
      <c r="W34" s="30">
        <f t="shared" si="20"/>
        <v>0</v>
      </c>
      <c r="X34" s="5">
        <f t="shared" si="0"/>
        <v>0</v>
      </c>
      <c r="Y34" s="90">
        <f t="shared" si="27"/>
        <v>0</v>
      </c>
      <c r="Z34" s="96">
        <f t="shared" si="28"/>
        <v>0</v>
      </c>
      <c r="AA34" s="85">
        <f t="shared" si="6"/>
        <v>0</v>
      </c>
      <c r="AB34" s="91"/>
      <c r="AC34" s="92">
        <f t="shared" si="7"/>
        <v>0</v>
      </c>
      <c r="AD34" s="91"/>
      <c r="AE34" s="92">
        <f t="shared" si="8"/>
        <v>0</v>
      </c>
      <c r="AF34" s="93">
        <f t="shared" si="23"/>
        <v>0</v>
      </c>
      <c r="AG34" s="92">
        <f t="shared" si="9"/>
        <v>0</v>
      </c>
      <c r="AH34" s="104">
        <f t="shared" si="24"/>
        <v>0</v>
      </c>
      <c r="AI34" s="97">
        <f t="shared" si="25"/>
        <v>0</v>
      </c>
    </row>
    <row r="35" spans="2:35" x14ac:dyDescent="0.3">
      <c r="B35" s="77">
        <f t="shared" si="12"/>
        <v>27</v>
      </c>
      <c r="C35" s="53"/>
      <c r="D35" s="48">
        <f>Payroll_Raw!D33</f>
        <v>0</v>
      </c>
      <c r="E35" s="48">
        <f>Payroll_Raw!G74</f>
        <v>0</v>
      </c>
      <c r="F35" s="40"/>
      <c r="G35" s="38">
        <f t="shared" si="26"/>
        <v>0</v>
      </c>
      <c r="H35" s="34">
        <f t="shared" si="29"/>
        <v>0</v>
      </c>
      <c r="I35" s="39">
        <f t="shared" si="3"/>
        <v>200000</v>
      </c>
      <c r="J35" s="35">
        <f t="shared" si="4"/>
        <v>200000</v>
      </c>
      <c r="K35" s="37">
        <f t="shared" si="30"/>
        <v>-200000</v>
      </c>
      <c r="L35" s="15">
        <f t="shared" si="13"/>
        <v>7.0000000000000007E-2</v>
      </c>
      <c r="M35" s="9">
        <f>IF(K35-300000&gt;0,'Tax Table - DONT ALTER'!D71,K35)*L35</f>
        <v>-14000.000000000002</v>
      </c>
      <c r="N35" s="10">
        <f t="shared" si="14"/>
        <v>0.11</v>
      </c>
      <c r="O35" s="16">
        <f>IF(K35-600000&gt;0,'Tax Table - DONT ALTER'!F71,K35-300000)*N35</f>
        <v>-55000</v>
      </c>
      <c r="P35" s="20">
        <f t="shared" si="15"/>
        <v>0.15</v>
      </c>
      <c r="Q35" s="16">
        <f>IF(K35-1100000&gt;0,'Tax Table - DONT ALTER'!H72,K35-600000)*P35</f>
        <v>-120000</v>
      </c>
      <c r="R35" s="20">
        <f t="shared" si="16"/>
        <v>0.19</v>
      </c>
      <c r="S35" s="16">
        <f>IF(K35-1600000&gt;0,'Tax Table - DONT ALTER'!J71,K35-1100000)*R35</f>
        <v>-247000</v>
      </c>
      <c r="T35" s="20">
        <f t="shared" si="19"/>
        <v>0.21</v>
      </c>
      <c r="U35" s="16">
        <f>IF(K35-3200000&gt;0,'Tax Table - DONT ALTER'!L71,K35-1600000)*T35</f>
        <v>-378000</v>
      </c>
      <c r="V35" s="20">
        <f t="shared" si="17"/>
        <v>0.24</v>
      </c>
      <c r="W35" s="30">
        <f t="shared" si="20"/>
        <v>0</v>
      </c>
      <c r="X35" s="5">
        <f t="shared" si="0"/>
        <v>0</v>
      </c>
      <c r="Y35" s="90">
        <f t="shared" si="27"/>
        <v>0</v>
      </c>
      <c r="Z35" s="96">
        <f t="shared" si="28"/>
        <v>0</v>
      </c>
      <c r="AA35" s="85">
        <f t="shared" si="6"/>
        <v>0</v>
      </c>
      <c r="AB35" s="91"/>
      <c r="AC35" s="92">
        <f t="shared" si="7"/>
        <v>0</v>
      </c>
      <c r="AD35" s="91"/>
      <c r="AE35" s="92">
        <f t="shared" si="8"/>
        <v>0</v>
      </c>
      <c r="AF35" s="91"/>
      <c r="AG35" s="92">
        <f t="shared" si="9"/>
        <v>0</v>
      </c>
      <c r="AH35" s="104">
        <f t="shared" si="24"/>
        <v>0</v>
      </c>
      <c r="AI35" s="97">
        <f t="shared" si="25"/>
        <v>0</v>
      </c>
    </row>
    <row r="36" spans="2:35" x14ac:dyDescent="0.3">
      <c r="B36" s="77">
        <f t="shared" si="12"/>
        <v>28</v>
      </c>
      <c r="C36" s="53"/>
      <c r="D36" s="48">
        <f>Payroll_Raw!D34</f>
        <v>0</v>
      </c>
      <c r="E36" s="48">
        <f>Payroll_Raw!G75</f>
        <v>0</v>
      </c>
      <c r="F36" s="40"/>
      <c r="G36" s="38">
        <f t="shared" si="26"/>
        <v>0</v>
      </c>
      <c r="H36" s="34">
        <f t="shared" si="29"/>
        <v>0</v>
      </c>
      <c r="I36" s="39">
        <f t="shared" si="3"/>
        <v>200000</v>
      </c>
      <c r="J36" s="35">
        <f t="shared" si="4"/>
        <v>200000</v>
      </c>
      <c r="K36" s="37">
        <f t="shared" si="30"/>
        <v>-200000</v>
      </c>
      <c r="L36" s="15">
        <f t="shared" si="13"/>
        <v>7.0000000000000007E-2</v>
      </c>
      <c r="M36" s="9">
        <f>IF(K36-300000&gt;0,'Tax Table - DONT ALTER'!D72,K36)*L36</f>
        <v>-14000.000000000002</v>
      </c>
      <c r="N36" s="10">
        <f t="shared" si="14"/>
        <v>0.11</v>
      </c>
      <c r="O36" s="16">
        <f>IF(K36-600000&gt;0,'Tax Table - DONT ALTER'!F72,K36-300000)*N36</f>
        <v>-55000</v>
      </c>
      <c r="P36" s="20">
        <f t="shared" si="15"/>
        <v>0.15</v>
      </c>
      <c r="Q36" s="16">
        <f>IF(K36-1100000&gt;0,'Tax Table - DONT ALTER'!H73,K36-600000)*P36</f>
        <v>-120000</v>
      </c>
      <c r="R36" s="20">
        <f t="shared" si="16"/>
        <v>0.19</v>
      </c>
      <c r="S36" s="16">
        <f>IF(K36-1600000&gt;0,'Tax Table - DONT ALTER'!J72,K36-1100000)*R36</f>
        <v>-247000</v>
      </c>
      <c r="T36" s="20">
        <f t="shared" si="19"/>
        <v>0.21</v>
      </c>
      <c r="U36" s="16">
        <f>IF(K36-3200000&gt;0,'Tax Table - DONT ALTER'!L72,K36-1600000)*T36</f>
        <v>-378000</v>
      </c>
      <c r="V36" s="20">
        <f t="shared" si="17"/>
        <v>0.24</v>
      </c>
      <c r="W36" s="30">
        <f t="shared" si="20"/>
        <v>0</v>
      </c>
      <c r="X36" s="5">
        <f t="shared" si="0"/>
        <v>0</v>
      </c>
      <c r="Y36" s="90">
        <f>IF(M36&gt;=0,M36)+IF(O36&gt;=0,O36)+IF(Q36&gt;=0,Q36)+IF(S36&gt;=0,S36)+IF(U36&gt;=0,U36)+IF(W36&gt;=0,W36)</f>
        <v>0</v>
      </c>
      <c r="Z36" s="96">
        <f t="shared" si="28"/>
        <v>0</v>
      </c>
      <c r="AA36" s="85">
        <f t="shared" si="6"/>
        <v>0</v>
      </c>
      <c r="AB36" s="91"/>
      <c r="AC36" s="92">
        <f t="shared" si="7"/>
        <v>0</v>
      </c>
      <c r="AD36" s="91"/>
      <c r="AE36" s="92">
        <f t="shared" si="8"/>
        <v>0</v>
      </c>
      <c r="AF36" s="91"/>
      <c r="AG36" s="92">
        <f t="shared" si="9"/>
        <v>0</v>
      </c>
      <c r="AH36" s="104">
        <f t="shared" si="24"/>
        <v>0</v>
      </c>
      <c r="AI36" s="97">
        <f t="shared" si="25"/>
        <v>0</v>
      </c>
    </row>
    <row r="37" spans="2:35" ht="11" thickBot="1" x14ac:dyDescent="0.35">
      <c r="B37" s="77">
        <f t="shared" si="12"/>
        <v>29</v>
      </c>
      <c r="C37" s="53"/>
      <c r="D37" s="48">
        <f>Payroll_Raw!D35</f>
        <v>0</v>
      </c>
      <c r="E37" s="48">
        <f>Payroll_Raw!G76</f>
        <v>0</v>
      </c>
      <c r="F37" s="40"/>
      <c r="G37" s="38">
        <f t="shared" si="26"/>
        <v>0</v>
      </c>
      <c r="H37" s="34">
        <f t="shared" si="29"/>
        <v>0</v>
      </c>
      <c r="I37" s="39">
        <f t="shared" si="3"/>
        <v>200000</v>
      </c>
      <c r="J37" s="35">
        <f t="shared" si="4"/>
        <v>200000</v>
      </c>
      <c r="K37" s="37">
        <f t="shared" si="30"/>
        <v>-200000</v>
      </c>
      <c r="L37" s="15">
        <f t="shared" si="13"/>
        <v>7.0000000000000007E-2</v>
      </c>
      <c r="M37" s="9">
        <f>IF(K37-300000&gt;0,'Tax Table - DONT ALTER'!D117,K37)*L37</f>
        <v>-14000.000000000002</v>
      </c>
      <c r="N37" s="10">
        <f t="shared" si="14"/>
        <v>0.11</v>
      </c>
      <c r="O37" s="16">
        <f>IF(K37-600000&gt;0,'Tax Table - DONT ALTER'!F117,K37-300000)*N37</f>
        <v>-55000</v>
      </c>
      <c r="P37" s="20">
        <f t="shared" si="15"/>
        <v>0.15</v>
      </c>
      <c r="Q37" s="16">
        <f>IF(K37-1100000&gt;0,'Tax Table - DONT ALTER'!H118,K37-600000)*P37</f>
        <v>-120000</v>
      </c>
      <c r="R37" s="20">
        <f t="shared" si="16"/>
        <v>0.19</v>
      </c>
      <c r="S37" s="16">
        <f>IF(K37-1600000&gt;0,'Tax Table - DONT ALTER'!J117,K37-1100000)*R37</f>
        <v>-247000</v>
      </c>
      <c r="T37" s="20">
        <f t="shared" si="19"/>
        <v>0.21</v>
      </c>
      <c r="U37" s="16">
        <f>IF(K37-3200000&gt;0,'Tax Table - DONT ALTER'!L117,K37-1600000)*T37</f>
        <v>-378000</v>
      </c>
      <c r="V37" s="20">
        <f t="shared" si="17"/>
        <v>0.24</v>
      </c>
      <c r="W37" s="30">
        <f t="shared" si="20"/>
        <v>0</v>
      </c>
      <c r="X37" s="105">
        <f t="shared" si="0"/>
        <v>0</v>
      </c>
      <c r="Y37" s="106">
        <f t="shared" ref="Y37" si="31">IF(M37&gt;=0,M37)+IF(O37&gt;=0,O37)+IF(Q37&gt;=0,Q37)+IF(S37&gt;=0,S37)+IF(U37&gt;=0,U37)+IF(W37&gt;=0,W37)</f>
        <v>0</v>
      </c>
      <c r="Z37" s="107">
        <f t="shared" si="28"/>
        <v>0</v>
      </c>
      <c r="AA37" s="108">
        <f t="shared" si="6"/>
        <v>0</v>
      </c>
      <c r="AB37" s="109"/>
      <c r="AC37" s="110">
        <f t="shared" si="7"/>
        <v>0</v>
      </c>
      <c r="AD37" s="109"/>
      <c r="AE37" s="110">
        <f t="shared" si="8"/>
        <v>0</v>
      </c>
      <c r="AF37" s="109"/>
      <c r="AG37" s="110">
        <f t="shared" si="9"/>
        <v>0</v>
      </c>
      <c r="AH37" s="111">
        <f t="shared" si="24"/>
        <v>0</v>
      </c>
      <c r="AI37" s="112">
        <f t="shared" si="25"/>
        <v>0</v>
      </c>
    </row>
    <row r="38" spans="2:35" ht="11" thickBot="1" x14ac:dyDescent="0.35">
      <c r="B38" s="78"/>
      <c r="C38" s="43"/>
      <c r="D38" s="42"/>
      <c r="E38" s="43"/>
      <c r="F38" s="41">
        <f>SUM(F8:F37)</f>
        <v>9654177.8399999999</v>
      </c>
      <c r="G38" s="41">
        <f>SUM(G9:G37)</f>
        <v>772334.22719999985</v>
      </c>
      <c r="H38" s="6"/>
      <c r="I38" s="41">
        <f>SUM(I9:I37)</f>
        <v>7576368.7225599997</v>
      </c>
      <c r="J38" s="41">
        <f>SUM(J9:J37)</f>
        <v>7576368.7225599997</v>
      </c>
      <c r="K38" s="41">
        <f>SUM(K9:K37)</f>
        <v>1305474.8902399996</v>
      </c>
      <c r="L38" s="17"/>
      <c r="M38" s="18"/>
      <c r="N38" s="18"/>
      <c r="O38" s="19"/>
      <c r="P38" s="22"/>
      <c r="Q38" s="19"/>
      <c r="R38" s="22"/>
      <c r="S38" s="19"/>
      <c r="T38" s="21"/>
      <c r="U38" s="19"/>
      <c r="V38" s="21"/>
      <c r="W38" s="31"/>
      <c r="X38" s="113">
        <f>SUM(X9:X37)</f>
        <v>96541.778399999996</v>
      </c>
      <c r="Y38" s="113">
        <f>SUM(Y9:Y37)</f>
        <v>1070843.6975103999</v>
      </c>
      <c r="Z38" s="114">
        <f t="shared" ref="Z38:AI38" si="32">SUM(Z9:Z37)</f>
        <v>7810999.9152896004</v>
      </c>
      <c r="AA38" s="115">
        <f t="shared" si="32"/>
        <v>650916.65960746666</v>
      </c>
      <c r="AB38" s="116">
        <f t="shared" si="32"/>
        <v>1070843.6975103999</v>
      </c>
      <c r="AC38" s="116">
        <f t="shared" si="32"/>
        <v>89236.974792533321</v>
      </c>
      <c r="AD38" s="116">
        <f t="shared" si="32"/>
        <v>772334.22719999985</v>
      </c>
      <c r="AE38" s="116">
        <f t="shared" si="32"/>
        <v>64361.18559999999</v>
      </c>
      <c r="AF38" s="116">
        <f t="shared" si="32"/>
        <v>671991.77999999991</v>
      </c>
      <c r="AG38" s="116">
        <f t="shared" si="32"/>
        <v>55999.314999999995</v>
      </c>
      <c r="AH38" s="116">
        <f t="shared" si="32"/>
        <v>1444326.0071999999</v>
      </c>
      <c r="AI38" s="117">
        <f t="shared" si="32"/>
        <v>120360.5006</v>
      </c>
    </row>
    <row r="40" spans="2:35" ht="15.75" customHeight="1" x14ac:dyDescent="0.3"/>
    <row r="41" spans="2:35" ht="21" customHeight="1" x14ac:dyDescent="0.3"/>
  </sheetData>
  <mergeCells count="17">
    <mergeCell ref="AB5:AC5"/>
    <mergeCell ref="AH5:AI5"/>
    <mergeCell ref="AD5:AE5"/>
    <mergeCell ref="H6:H7"/>
    <mergeCell ref="AF5:AG5"/>
    <mergeCell ref="P6:Q7"/>
    <mergeCell ref="R6:S7"/>
    <mergeCell ref="T6:U7"/>
    <mergeCell ref="V6:W7"/>
    <mergeCell ref="L5:W5"/>
    <mergeCell ref="X5:Y5"/>
    <mergeCell ref="Z5:AA5"/>
    <mergeCell ref="B6:B7"/>
    <mergeCell ref="F6:F7"/>
    <mergeCell ref="I6:I7"/>
    <mergeCell ref="L6:M7"/>
    <mergeCell ref="N6:O7"/>
  </mergeCells>
  <pageMargins left="0.7" right="0.7" top="0.75" bottom="0.75" header="0.3" footer="0.3"/>
  <pageSetup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C5:N745"/>
  <sheetViews>
    <sheetView workbookViewId="0">
      <selection activeCell="F4" sqref="F4"/>
    </sheetView>
  </sheetViews>
  <sheetFormatPr defaultColWidth="9.1796875" defaultRowHeight="10.5" x14ac:dyDescent="0.3"/>
  <cols>
    <col min="1" max="2" width="9.1796875" style="2"/>
    <col min="3" max="3" width="10.81640625" style="2" bestFit="1" customWidth="1"/>
    <col min="4" max="4" width="8" style="3" bestFit="1" customWidth="1"/>
    <col min="5" max="5" width="12.54296875" style="2" bestFit="1" customWidth="1"/>
    <col min="6" max="6" width="8" style="2" bestFit="1" customWidth="1"/>
    <col min="7" max="7" width="12.54296875" style="2" bestFit="1" customWidth="1"/>
    <col min="8" max="8" width="8" style="2" bestFit="1" customWidth="1"/>
    <col min="9" max="9" width="12.54296875" style="2" bestFit="1" customWidth="1"/>
    <col min="10" max="10" width="8" style="2" bestFit="1" customWidth="1"/>
    <col min="11" max="11" width="13.7265625" style="2" bestFit="1" customWidth="1"/>
    <col min="12" max="12" width="9" style="2" bestFit="1" customWidth="1"/>
    <col min="13" max="13" width="15.26953125" style="2" bestFit="1" customWidth="1"/>
    <col min="14" max="14" width="9.26953125" style="2" bestFit="1" customWidth="1"/>
    <col min="15" max="16384" width="9.1796875" style="2"/>
  </cols>
  <sheetData>
    <row r="5" spans="3:14" s="1" customFormat="1" ht="9" x14ac:dyDescent="0.2">
      <c r="C5" s="1" t="s">
        <v>9</v>
      </c>
      <c r="D5" s="50">
        <v>300000</v>
      </c>
      <c r="E5" s="1" t="s">
        <v>10</v>
      </c>
      <c r="F5" s="50">
        <v>300000</v>
      </c>
      <c r="G5" s="1" t="s">
        <v>11</v>
      </c>
      <c r="H5" s="50">
        <v>500000</v>
      </c>
      <c r="I5" s="1" t="s">
        <v>11</v>
      </c>
      <c r="J5" s="50">
        <v>500000</v>
      </c>
      <c r="K5" s="1" t="s">
        <v>12</v>
      </c>
      <c r="L5" s="50">
        <v>1600000</v>
      </c>
      <c r="M5" s="1" t="s">
        <v>13</v>
      </c>
      <c r="N5" s="50">
        <v>3200000</v>
      </c>
    </row>
    <row r="6" spans="3:14" x14ac:dyDescent="0.3">
      <c r="D6" s="3">
        <v>300000</v>
      </c>
      <c r="F6" s="3">
        <v>300000</v>
      </c>
      <c r="H6" s="3">
        <v>500000</v>
      </c>
      <c r="J6" s="3">
        <v>500000</v>
      </c>
      <c r="L6" s="3">
        <v>1600000</v>
      </c>
      <c r="N6" s="3">
        <v>3200000</v>
      </c>
    </row>
    <row r="7" spans="3:14" x14ac:dyDescent="0.3">
      <c r="D7" s="3">
        <v>300000</v>
      </c>
      <c r="F7" s="3">
        <v>300000</v>
      </c>
      <c r="H7" s="3">
        <v>500000</v>
      </c>
      <c r="J7" s="3">
        <v>500000</v>
      </c>
      <c r="L7" s="3">
        <v>1600000</v>
      </c>
      <c r="N7" s="3">
        <v>3200000</v>
      </c>
    </row>
    <row r="8" spans="3:14" x14ac:dyDescent="0.3">
      <c r="D8" s="3">
        <v>300000</v>
      </c>
      <c r="F8" s="3">
        <v>300000</v>
      </c>
      <c r="H8" s="3">
        <v>500000</v>
      </c>
      <c r="J8" s="3">
        <v>500000</v>
      </c>
      <c r="L8" s="3">
        <v>1600000</v>
      </c>
      <c r="N8" s="3">
        <v>3200000</v>
      </c>
    </row>
    <row r="9" spans="3:14" x14ac:dyDescent="0.3">
      <c r="D9" s="3">
        <v>300000</v>
      </c>
      <c r="F9" s="3">
        <v>300000</v>
      </c>
      <c r="H9" s="3">
        <v>500000</v>
      </c>
      <c r="J9" s="3">
        <v>500000</v>
      </c>
      <c r="L9" s="3">
        <v>1600000</v>
      </c>
      <c r="N9" s="3">
        <v>3200000</v>
      </c>
    </row>
    <row r="10" spans="3:14" x14ac:dyDescent="0.3">
      <c r="D10" s="3">
        <v>300000</v>
      </c>
      <c r="F10" s="3">
        <v>300000</v>
      </c>
      <c r="H10" s="3">
        <v>500000</v>
      </c>
      <c r="J10" s="3">
        <v>500000</v>
      </c>
      <c r="L10" s="3">
        <v>1600000</v>
      </c>
      <c r="N10" s="3">
        <v>3200000</v>
      </c>
    </row>
    <row r="11" spans="3:14" x14ac:dyDescent="0.3">
      <c r="D11" s="3">
        <v>300000</v>
      </c>
      <c r="F11" s="3">
        <v>300000</v>
      </c>
      <c r="H11" s="3">
        <v>500000</v>
      </c>
      <c r="J11" s="3">
        <v>500000</v>
      </c>
      <c r="L11" s="3">
        <v>1600000</v>
      </c>
      <c r="N11" s="3">
        <v>3200000</v>
      </c>
    </row>
    <row r="12" spans="3:14" x14ac:dyDescent="0.3">
      <c r="D12" s="3">
        <v>300000</v>
      </c>
      <c r="F12" s="3">
        <v>300000</v>
      </c>
      <c r="H12" s="3">
        <v>500000</v>
      </c>
      <c r="J12" s="3">
        <v>500000</v>
      </c>
      <c r="L12" s="3">
        <v>1600000</v>
      </c>
      <c r="N12" s="3">
        <v>3200000</v>
      </c>
    </row>
    <row r="13" spans="3:14" x14ac:dyDescent="0.3">
      <c r="D13" s="3">
        <v>300000</v>
      </c>
      <c r="F13" s="3">
        <v>300000</v>
      </c>
      <c r="H13" s="3">
        <v>500000</v>
      </c>
      <c r="J13" s="3">
        <v>500000</v>
      </c>
      <c r="L13" s="3">
        <v>1600000</v>
      </c>
      <c r="N13" s="3">
        <v>3200000</v>
      </c>
    </row>
    <row r="14" spans="3:14" x14ac:dyDescent="0.3">
      <c r="D14" s="3">
        <v>300000</v>
      </c>
      <c r="F14" s="3">
        <v>300000</v>
      </c>
      <c r="H14" s="3">
        <v>500000</v>
      </c>
      <c r="J14" s="3">
        <v>500000</v>
      </c>
      <c r="L14" s="3">
        <v>1600000</v>
      </c>
      <c r="N14" s="3">
        <v>3200000</v>
      </c>
    </row>
    <row r="15" spans="3:14" x14ac:dyDescent="0.3">
      <c r="D15" s="3">
        <v>300000</v>
      </c>
      <c r="F15" s="3">
        <v>300000</v>
      </c>
      <c r="H15" s="3">
        <v>500000</v>
      </c>
      <c r="J15" s="3">
        <v>500000</v>
      </c>
      <c r="L15" s="3">
        <v>1600000</v>
      </c>
      <c r="N15" s="3">
        <v>3200000</v>
      </c>
    </row>
    <row r="16" spans="3:14" x14ac:dyDescent="0.3">
      <c r="D16" s="3">
        <v>300000</v>
      </c>
      <c r="F16" s="3">
        <v>300000</v>
      </c>
      <c r="H16" s="3">
        <v>500000</v>
      </c>
      <c r="J16" s="3">
        <v>500000</v>
      </c>
      <c r="L16" s="3">
        <v>1600000</v>
      </c>
      <c r="N16" s="3">
        <v>3200000</v>
      </c>
    </row>
    <row r="17" spans="4:14" x14ac:dyDescent="0.3">
      <c r="D17" s="3">
        <v>300000</v>
      </c>
      <c r="F17" s="3">
        <v>300000</v>
      </c>
      <c r="H17" s="3">
        <v>500000</v>
      </c>
      <c r="J17" s="3">
        <v>500000</v>
      </c>
      <c r="L17" s="3">
        <v>1600000</v>
      </c>
      <c r="N17" s="3">
        <v>3200000</v>
      </c>
    </row>
    <row r="18" spans="4:14" x14ac:dyDescent="0.3">
      <c r="D18" s="3">
        <v>300000</v>
      </c>
      <c r="F18" s="3">
        <v>300000</v>
      </c>
      <c r="H18" s="3">
        <v>500000</v>
      </c>
      <c r="J18" s="3">
        <v>500000</v>
      </c>
      <c r="L18" s="3">
        <v>1600000</v>
      </c>
      <c r="N18" s="3">
        <v>3200000</v>
      </c>
    </row>
    <row r="19" spans="4:14" x14ac:dyDescent="0.3">
      <c r="D19" s="3">
        <v>300000</v>
      </c>
      <c r="F19" s="3">
        <v>300000</v>
      </c>
      <c r="H19" s="3">
        <v>500000</v>
      </c>
      <c r="J19" s="3">
        <v>500000</v>
      </c>
      <c r="L19" s="3">
        <v>1600000</v>
      </c>
      <c r="N19" s="3">
        <v>3200000</v>
      </c>
    </row>
    <row r="20" spans="4:14" x14ac:dyDescent="0.3">
      <c r="D20" s="3">
        <v>300000</v>
      </c>
      <c r="F20" s="3">
        <v>300000</v>
      </c>
      <c r="H20" s="3">
        <v>500000</v>
      </c>
      <c r="J20" s="3">
        <v>500000</v>
      </c>
      <c r="L20" s="3">
        <v>1600000</v>
      </c>
      <c r="N20" s="3">
        <v>3200000</v>
      </c>
    </row>
    <row r="21" spans="4:14" x14ac:dyDescent="0.3">
      <c r="D21" s="3">
        <v>300000</v>
      </c>
      <c r="F21" s="3">
        <v>300000</v>
      </c>
      <c r="H21" s="3">
        <v>500000</v>
      </c>
      <c r="J21" s="3">
        <v>500000</v>
      </c>
      <c r="L21" s="3">
        <v>1600000</v>
      </c>
      <c r="N21" s="3">
        <v>3200000</v>
      </c>
    </row>
    <row r="22" spans="4:14" x14ac:dyDescent="0.3">
      <c r="D22" s="3">
        <v>300000</v>
      </c>
      <c r="F22" s="3">
        <v>300000</v>
      </c>
      <c r="H22" s="3">
        <v>500000</v>
      </c>
      <c r="J22" s="3">
        <v>500000</v>
      </c>
      <c r="L22" s="3">
        <v>1600000</v>
      </c>
      <c r="N22" s="3">
        <v>3200000</v>
      </c>
    </row>
    <row r="23" spans="4:14" x14ac:dyDescent="0.3">
      <c r="D23" s="3">
        <v>300000</v>
      </c>
      <c r="F23" s="3">
        <v>300000</v>
      </c>
      <c r="H23" s="3">
        <v>500000</v>
      </c>
      <c r="J23" s="3">
        <v>500000</v>
      </c>
      <c r="L23" s="3">
        <v>1600000</v>
      </c>
      <c r="N23" s="3">
        <v>3200000</v>
      </c>
    </row>
    <row r="24" spans="4:14" x14ac:dyDescent="0.3">
      <c r="D24" s="3">
        <v>300000</v>
      </c>
      <c r="F24" s="3">
        <v>300000</v>
      </c>
      <c r="H24" s="3">
        <v>500000</v>
      </c>
      <c r="J24" s="3">
        <v>500000</v>
      </c>
      <c r="L24" s="3">
        <v>1600000</v>
      </c>
      <c r="N24" s="3">
        <v>3200000</v>
      </c>
    </row>
    <row r="25" spans="4:14" x14ac:dyDescent="0.3">
      <c r="D25" s="3">
        <v>300000</v>
      </c>
      <c r="F25" s="3">
        <v>300000</v>
      </c>
      <c r="H25" s="3">
        <v>500000</v>
      </c>
      <c r="J25" s="3">
        <v>500000</v>
      </c>
      <c r="L25" s="3">
        <v>1600000</v>
      </c>
      <c r="N25" s="3">
        <v>3200000</v>
      </c>
    </row>
    <row r="26" spans="4:14" x14ac:dyDescent="0.3">
      <c r="D26" s="3">
        <v>300000</v>
      </c>
      <c r="F26" s="3">
        <v>300000</v>
      </c>
      <c r="H26" s="3">
        <v>500000</v>
      </c>
      <c r="J26" s="3">
        <v>500000</v>
      </c>
      <c r="L26" s="3">
        <v>1600000</v>
      </c>
      <c r="N26" s="3">
        <v>3200000</v>
      </c>
    </row>
    <row r="27" spans="4:14" x14ac:dyDescent="0.3">
      <c r="D27" s="3">
        <v>300000</v>
      </c>
      <c r="F27" s="3">
        <v>300000</v>
      </c>
      <c r="H27" s="3">
        <v>500000</v>
      </c>
      <c r="J27" s="3">
        <v>500000</v>
      </c>
      <c r="L27" s="3">
        <v>1600000</v>
      </c>
      <c r="N27" s="3">
        <v>3200000</v>
      </c>
    </row>
    <row r="28" spans="4:14" x14ac:dyDescent="0.3">
      <c r="D28" s="3">
        <v>300000</v>
      </c>
      <c r="F28" s="3">
        <v>300000</v>
      </c>
      <c r="H28" s="3">
        <v>500000</v>
      </c>
      <c r="J28" s="3">
        <v>500000</v>
      </c>
      <c r="L28" s="3">
        <v>1600000</v>
      </c>
      <c r="N28" s="3">
        <v>3200000</v>
      </c>
    </row>
    <row r="29" spans="4:14" x14ac:dyDescent="0.3">
      <c r="D29" s="3">
        <v>300000</v>
      </c>
      <c r="F29" s="3">
        <v>300000</v>
      </c>
      <c r="H29" s="3">
        <v>500000</v>
      </c>
      <c r="J29" s="3">
        <v>500000</v>
      </c>
      <c r="L29" s="3">
        <v>1600000</v>
      </c>
      <c r="N29" s="3">
        <v>3200000</v>
      </c>
    </row>
    <row r="30" spans="4:14" x14ac:dyDescent="0.3">
      <c r="D30" s="3">
        <v>300000</v>
      </c>
      <c r="F30" s="3">
        <v>300000</v>
      </c>
      <c r="H30" s="3">
        <v>500000</v>
      </c>
      <c r="J30" s="3">
        <v>500000</v>
      </c>
      <c r="L30" s="3">
        <v>1600000</v>
      </c>
      <c r="N30" s="3">
        <v>3200000</v>
      </c>
    </row>
    <row r="31" spans="4:14" x14ac:dyDescent="0.3">
      <c r="D31" s="3">
        <v>300000</v>
      </c>
      <c r="F31" s="3">
        <v>300000</v>
      </c>
      <c r="H31" s="3">
        <v>500000</v>
      </c>
      <c r="J31" s="3">
        <v>500000</v>
      </c>
      <c r="L31" s="3">
        <v>1600000</v>
      </c>
      <c r="N31" s="3">
        <v>3200000</v>
      </c>
    </row>
    <row r="32" spans="4:14" x14ac:dyDescent="0.3">
      <c r="D32" s="3">
        <v>300000</v>
      </c>
      <c r="F32" s="3">
        <v>300000</v>
      </c>
      <c r="H32" s="3">
        <v>500000</v>
      </c>
      <c r="J32" s="3">
        <v>500000</v>
      </c>
      <c r="L32" s="3">
        <v>1600000</v>
      </c>
      <c r="N32" s="3">
        <v>3200000</v>
      </c>
    </row>
    <row r="33" spans="4:14" x14ac:dyDescent="0.3">
      <c r="D33" s="3">
        <v>300000</v>
      </c>
      <c r="F33" s="3">
        <v>300000</v>
      </c>
      <c r="H33" s="3">
        <v>500000</v>
      </c>
      <c r="J33" s="3">
        <v>500000</v>
      </c>
      <c r="L33" s="3">
        <v>1600000</v>
      </c>
      <c r="N33" s="3">
        <v>3200000</v>
      </c>
    </row>
    <row r="34" spans="4:14" x14ac:dyDescent="0.3">
      <c r="D34" s="3">
        <v>300000</v>
      </c>
      <c r="F34" s="3">
        <v>300000</v>
      </c>
      <c r="H34" s="3">
        <v>500000</v>
      </c>
      <c r="J34" s="3">
        <v>500000</v>
      </c>
      <c r="L34" s="3">
        <v>1600000</v>
      </c>
      <c r="N34" s="3">
        <v>3200000</v>
      </c>
    </row>
    <row r="35" spans="4:14" x14ac:dyDescent="0.3">
      <c r="D35" s="3">
        <v>300000</v>
      </c>
      <c r="F35" s="3">
        <v>300000</v>
      </c>
      <c r="H35" s="3">
        <v>500000</v>
      </c>
      <c r="J35" s="3">
        <v>500000</v>
      </c>
      <c r="L35" s="3">
        <v>1600000</v>
      </c>
      <c r="N35" s="3">
        <v>3200000</v>
      </c>
    </row>
    <row r="36" spans="4:14" x14ac:dyDescent="0.3">
      <c r="D36" s="3">
        <v>300000</v>
      </c>
      <c r="F36" s="3">
        <v>300000</v>
      </c>
      <c r="H36" s="3">
        <v>500000</v>
      </c>
      <c r="J36" s="3">
        <v>500000</v>
      </c>
      <c r="L36" s="3">
        <v>1600000</v>
      </c>
      <c r="N36" s="3">
        <v>3200000</v>
      </c>
    </row>
    <row r="37" spans="4:14" x14ac:dyDescent="0.3">
      <c r="D37" s="3">
        <v>300000</v>
      </c>
      <c r="F37" s="3">
        <v>300000</v>
      </c>
      <c r="H37" s="3">
        <v>500000</v>
      </c>
      <c r="J37" s="3">
        <v>500000</v>
      </c>
      <c r="L37" s="3">
        <v>1600000</v>
      </c>
      <c r="N37" s="3">
        <v>3200000</v>
      </c>
    </row>
    <row r="38" spans="4:14" x14ac:dyDescent="0.3">
      <c r="D38" s="3">
        <v>300000</v>
      </c>
      <c r="F38" s="3">
        <v>300000</v>
      </c>
      <c r="H38" s="3">
        <v>500000</v>
      </c>
      <c r="J38" s="3">
        <v>500000</v>
      </c>
      <c r="L38" s="3">
        <v>1600000</v>
      </c>
      <c r="N38" s="3">
        <v>3200000</v>
      </c>
    </row>
    <row r="39" spans="4:14" x14ac:dyDescent="0.3">
      <c r="D39" s="3">
        <v>300000</v>
      </c>
      <c r="F39" s="3">
        <v>300000</v>
      </c>
      <c r="H39" s="3">
        <v>500000</v>
      </c>
      <c r="J39" s="3">
        <v>500000</v>
      </c>
      <c r="L39" s="3">
        <v>1600000</v>
      </c>
      <c r="N39" s="3">
        <v>3200000</v>
      </c>
    </row>
    <row r="40" spans="4:14" x14ac:dyDescent="0.3">
      <c r="D40" s="3">
        <v>300000</v>
      </c>
      <c r="F40" s="3">
        <v>300000</v>
      </c>
      <c r="H40" s="3">
        <v>500000</v>
      </c>
      <c r="J40" s="3">
        <v>500000</v>
      </c>
      <c r="L40" s="3">
        <v>1600000</v>
      </c>
      <c r="N40" s="3">
        <v>3200000</v>
      </c>
    </row>
    <row r="41" spans="4:14" x14ac:dyDescent="0.3">
      <c r="D41" s="3">
        <v>300000</v>
      </c>
      <c r="F41" s="3">
        <v>300000</v>
      </c>
      <c r="H41" s="3">
        <v>500000</v>
      </c>
      <c r="J41" s="3">
        <v>500000</v>
      </c>
      <c r="L41" s="3">
        <v>1600000</v>
      </c>
      <c r="N41" s="3">
        <v>3200000</v>
      </c>
    </row>
    <row r="42" spans="4:14" x14ac:dyDescent="0.3">
      <c r="D42" s="3">
        <v>300000</v>
      </c>
      <c r="F42" s="3">
        <v>300000</v>
      </c>
      <c r="H42" s="3">
        <v>500000</v>
      </c>
      <c r="J42" s="3">
        <v>500000</v>
      </c>
      <c r="L42" s="3">
        <v>1600000</v>
      </c>
      <c r="N42" s="3">
        <v>3200000</v>
      </c>
    </row>
    <row r="43" spans="4:14" x14ac:dyDescent="0.3">
      <c r="D43" s="3">
        <v>300000</v>
      </c>
      <c r="F43" s="3">
        <v>300000</v>
      </c>
      <c r="H43" s="3">
        <v>500000</v>
      </c>
      <c r="J43" s="3">
        <v>500000</v>
      </c>
      <c r="L43" s="3">
        <v>1600000</v>
      </c>
      <c r="N43" s="3">
        <v>3200000</v>
      </c>
    </row>
    <row r="44" spans="4:14" x14ac:dyDescent="0.3">
      <c r="D44" s="3">
        <v>300000</v>
      </c>
      <c r="F44" s="3">
        <v>300000</v>
      </c>
      <c r="H44" s="3">
        <v>500000</v>
      </c>
      <c r="J44" s="3">
        <v>500000</v>
      </c>
      <c r="L44" s="3">
        <v>1600000</v>
      </c>
      <c r="N44" s="3">
        <v>3200000</v>
      </c>
    </row>
    <row r="45" spans="4:14" x14ac:dyDescent="0.3">
      <c r="D45" s="3">
        <v>300000</v>
      </c>
      <c r="F45" s="3">
        <v>300000</v>
      </c>
      <c r="H45" s="3">
        <v>500000</v>
      </c>
      <c r="J45" s="3">
        <v>500000</v>
      </c>
      <c r="L45" s="3">
        <v>1600000</v>
      </c>
      <c r="N45" s="3">
        <v>3200000</v>
      </c>
    </row>
    <row r="46" spans="4:14" x14ac:dyDescent="0.3">
      <c r="D46" s="3">
        <v>300000</v>
      </c>
      <c r="F46" s="3">
        <v>300000</v>
      </c>
      <c r="H46" s="3">
        <v>500000</v>
      </c>
      <c r="J46" s="3">
        <v>500000</v>
      </c>
      <c r="L46" s="3">
        <v>1600000</v>
      </c>
      <c r="N46" s="3">
        <v>3200000</v>
      </c>
    </row>
    <row r="47" spans="4:14" x14ac:dyDescent="0.3">
      <c r="D47" s="3">
        <v>300000</v>
      </c>
      <c r="F47" s="3">
        <v>300000</v>
      </c>
      <c r="H47" s="3">
        <v>500000</v>
      </c>
      <c r="J47" s="3">
        <v>500000</v>
      </c>
      <c r="L47" s="3">
        <v>1600000</v>
      </c>
      <c r="N47" s="3">
        <v>3200000</v>
      </c>
    </row>
    <row r="48" spans="4:14" x14ac:dyDescent="0.3">
      <c r="D48" s="3">
        <v>300000</v>
      </c>
      <c r="F48" s="3">
        <v>300000</v>
      </c>
      <c r="H48" s="3">
        <v>500000</v>
      </c>
      <c r="J48" s="3">
        <v>500000</v>
      </c>
      <c r="L48" s="3">
        <v>1600000</v>
      </c>
      <c r="N48" s="3">
        <v>3200000</v>
      </c>
    </row>
    <row r="49" spans="4:14" x14ac:dyDescent="0.3">
      <c r="D49" s="3">
        <v>300000</v>
      </c>
      <c r="F49" s="3">
        <v>300000</v>
      </c>
      <c r="H49" s="3">
        <v>500000</v>
      </c>
      <c r="J49" s="3">
        <v>500000</v>
      </c>
      <c r="L49" s="3">
        <v>1600000</v>
      </c>
      <c r="N49" s="3">
        <v>3200000</v>
      </c>
    </row>
    <row r="50" spans="4:14" x14ac:dyDescent="0.3">
      <c r="D50" s="3">
        <v>300000</v>
      </c>
      <c r="F50" s="3">
        <v>300000</v>
      </c>
      <c r="H50" s="3">
        <v>500000</v>
      </c>
      <c r="J50" s="3">
        <v>500000</v>
      </c>
      <c r="L50" s="3">
        <v>1600000</v>
      </c>
      <c r="N50" s="3">
        <v>3200000</v>
      </c>
    </row>
    <row r="51" spans="4:14" x14ac:dyDescent="0.3">
      <c r="D51" s="3">
        <v>300000</v>
      </c>
      <c r="F51" s="3">
        <v>300000</v>
      </c>
      <c r="H51" s="3">
        <v>500000</v>
      </c>
      <c r="J51" s="3">
        <v>500000</v>
      </c>
      <c r="L51" s="3">
        <v>1600000</v>
      </c>
      <c r="N51" s="3">
        <v>3200000</v>
      </c>
    </row>
    <row r="52" spans="4:14" x14ac:dyDescent="0.3">
      <c r="D52" s="3">
        <v>300000</v>
      </c>
      <c r="F52" s="3">
        <v>300000</v>
      </c>
      <c r="H52" s="3">
        <v>500000</v>
      </c>
      <c r="J52" s="3">
        <v>500000</v>
      </c>
      <c r="L52" s="3">
        <v>1600000</v>
      </c>
      <c r="N52" s="3">
        <v>3200000</v>
      </c>
    </row>
    <row r="53" spans="4:14" x14ac:dyDescent="0.3">
      <c r="D53" s="3">
        <v>300000</v>
      </c>
      <c r="F53" s="3">
        <v>300000</v>
      </c>
      <c r="H53" s="3">
        <v>500000</v>
      </c>
      <c r="J53" s="3">
        <v>500000</v>
      </c>
      <c r="L53" s="3">
        <v>1600000</v>
      </c>
      <c r="N53" s="3">
        <v>3200000</v>
      </c>
    </row>
    <row r="54" spans="4:14" x14ac:dyDescent="0.3">
      <c r="D54" s="3">
        <v>300000</v>
      </c>
      <c r="F54" s="3">
        <v>300000</v>
      </c>
      <c r="H54" s="3">
        <v>500000</v>
      </c>
      <c r="J54" s="3">
        <v>500000</v>
      </c>
      <c r="L54" s="3">
        <v>1600000</v>
      </c>
      <c r="N54" s="3">
        <v>3200000</v>
      </c>
    </row>
    <row r="55" spans="4:14" x14ac:dyDescent="0.3">
      <c r="D55" s="3">
        <v>300000</v>
      </c>
      <c r="F55" s="3">
        <v>300000</v>
      </c>
      <c r="H55" s="3">
        <v>500000</v>
      </c>
      <c r="J55" s="3">
        <v>500000</v>
      </c>
      <c r="L55" s="3">
        <v>1600000</v>
      </c>
      <c r="N55" s="3">
        <v>3200000</v>
      </c>
    </row>
    <row r="56" spans="4:14" x14ac:dyDescent="0.3">
      <c r="D56" s="3">
        <v>300000</v>
      </c>
      <c r="F56" s="3">
        <v>300000</v>
      </c>
      <c r="H56" s="3">
        <v>500000</v>
      </c>
      <c r="J56" s="3">
        <v>500000</v>
      </c>
      <c r="L56" s="3">
        <v>1600000</v>
      </c>
      <c r="N56" s="3">
        <v>3200000</v>
      </c>
    </row>
    <row r="57" spans="4:14" x14ac:dyDescent="0.3">
      <c r="D57" s="3">
        <v>300000</v>
      </c>
      <c r="F57" s="3">
        <v>300000</v>
      </c>
      <c r="H57" s="3">
        <v>500000</v>
      </c>
      <c r="J57" s="3">
        <v>500000</v>
      </c>
      <c r="L57" s="3">
        <v>1600000</v>
      </c>
      <c r="N57" s="3">
        <v>3200000</v>
      </c>
    </row>
    <row r="58" spans="4:14" x14ac:dyDescent="0.3">
      <c r="D58" s="3">
        <v>300000</v>
      </c>
      <c r="F58" s="3">
        <v>300000</v>
      </c>
      <c r="H58" s="3">
        <v>500000</v>
      </c>
      <c r="J58" s="3">
        <v>500000</v>
      </c>
      <c r="L58" s="3">
        <v>1600000</v>
      </c>
      <c r="N58" s="3">
        <v>3200000</v>
      </c>
    </row>
    <row r="59" spans="4:14" x14ac:dyDescent="0.3">
      <c r="D59" s="3">
        <v>300000</v>
      </c>
      <c r="F59" s="3">
        <v>300000</v>
      </c>
      <c r="H59" s="3">
        <v>500000</v>
      </c>
      <c r="J59" s="3">
        <v>500000</v>
      </c>
      <c r="L59" s="3">
        <v>1600000</v>
      </c>
      <c r="N59" s="3">
        <v>3200000</v>
      </c>
    </row>
    <row r="60" spans="4:14" x14ac:dyDescent="0.3">
      <c r="D60" s="3">
        <v>300000</v>
      </c>
      <c r="F60" s="3">
        <v>300000</v>
      </c>
      <c r="H60" s="3">
        <v>500000</v>
      </c>
      <c r="J60" s="3">
        <v>500000</v>
      </c>
      <c r="L60" s="3">
        <v>1600000</v>
      </c>
      <c r="N60" s="3">
        <v>3200000</v>
      </c>
    </row>
    <row r="61" spans="4:14" x14ac:dyDescent="0.3">
      <c r="D61" s="3">
        <v>300000</v>
      </c>
      <c r="F61" s="3">
        <v>300000</v>
      </c>
      <c r="H61" s="3">
        <v>500000</v>
      </c>
      <c r="J61" s="3">
        <v>500000</v>
      </c>
      <c r="L61" s="3">
        <v>1600000</v>
      </c>
      <c r="N61" s="3">
        <v>3200000</v>
      </c>
    </row>
    <row r="62" spans="4:14" x14ac:dyDescent="0.3">
      <c r="D62" s="3">
        <v>300000</v>
      </c>
      <c r="F62" s="3">
        <v>300000</v>
      </c>
      <c r="H62" s="3">
        <v>500000</v>
      </c>
      <c r="J62" s="3">
        <v>500000</v>
      </c>
      <c r="L62" s="3">
        <v>1600000</v>
      </c>
      <c r="N62" s="3">
        <v>3200000</v>
      </c>
    </row>
    <row r="63" spans="4:14" x14ac:dyDescent="0.3">
      <c r="D63" s="3">
        <v>300000</v>
      </c>
      <c r="F63" s="3">
        <v>300000</v>
      </c>
      <c r="H63" s="3">
        <v>500000</v>
      </c>
      <c r="J63" s="3">
        <v>500000</v>
      </c>
      <c r="L63" s="3">
        <v>1600000</v>
      </c>
      <c r="N63" s="3">
        <v>3200000</v>
      </c>
    </row>
    <row r="64" spans="4:14" x14ac:dyDescent="0.3">
      <c r="D64" s="3">
        <v>300000</v>
      </c>
      <c r="F64" s="3">
        <v>300000</v>
      </c>
      <c r="H64" s="3">
        <v>500000</v>
      </c>
      <c r="J64" s="3">
        <v>500000</v>
      </c>
      <c r="L64" s="3">
        <v>1600000</v>
      </c>
      <c r="N64" s="3">
        <v>3200000</v>
      </c>
    </row>
    <row r="65" spans="4:14" x14ac:dyDescent="0.3">
      <c r="D65" s="3">
        <v>300000</v>
      </c>
      <c r="F65" s="3">
        <v>300000</v>
      </c>
      <c r="H65" s="3">
        <v>500000</v>
      </c>
      <c r="J65" s="3">
        <v>500000</v>
      </c>
      <c r="L65" s="3">
        <v>1600000</v>
      </c>
      <c r="N65" s="3">
        <v>3200000</v>
      </c>
    </row>
    <row r="66" spans="4:14" x14ac:dyDescent="0.3">
      <c r="D66" s="3">
        <v>300000</v>
      </c>
      <c r="F66" s="3">
        <v>300000</v>
      </c>
      <c r="H66" s="3">
        <v>500000</v>
      </c>
      <c r="J66" s="3">
        <v>500000</v>
      </c>
      <c r="L66" s="3">
        <v>1600000</v>
      </c>
      <c r="N66" s="3">
        <v>3200000</v>
      </c>
    </row>
    <row r="67" spans="4:14" x14ac:dyDescent="0.3">
      <c r="D67" s="3">
        <v>300000</v>
      </c>
      <c r="F67" s="3">
        <v>300000</v>
      </c>
      <c r="H67" s="3">
        <v>500000</v>
      </c>
      <c r="J67" s="3">
        <v>500000</v>
      </c>
      <c r="L67" s="3">
        <v>1600000</v>
      </c>
      <c r="N67" s="3">
        <v>3200000</v>
      </c>
    </row>
    <row r="68" spans="4:14" x14ac:dyDescent="0.3">
      <c r="D68" s="3">
        <v>300000</v>
      </c>
      <c r="F68" s="3">
        <v>300000</v>
      </c>
      <c r="H68" s="3">
        <v>500000</v>
      </c>
      <c r="J68" s="3">
        <v>500000</v>
      </c>
      <c r="L68" s="3">
        <v>1600000</v>
      </c>
      <c r="N68" s="3">
        <v>3200000</v>
      </c>
    </row>
    <row r="69" spans="4:14" x14ac:dyDescent="0.3">
      <c r="D69" s="3">
        <v>300000</v>
      </c>
      <c r="F69" s="3">
        <v>300000</v>
      </c>
      <c r="H69" s="3">
        <v>500000</v>
      </c>
      <c r="J69" s="3">
        <v>500000</v>
      </c>
      <c r="L69" s="3">
        <v>1600000</v>
      </c>
      <c r="N69" s="3">
        <v>3200000</v>
      </c>
    </row>
    <row r="70" spans="4:14" x14ac:dyDescent="0.3">
      <c r="D70" s="3">
        <v>300000</v>
      </c>
      <c r="F70" s="3">
        <v>300000</v>
      </c>
      <c r="H70" s="3">
        <v>500000</v>
      </c>
      <c r="J70" s="3">
        <v>500000</v>
      </c>
      <c r="L70" s="3">
        <v>1600000</v>
      </c>
      <c r="N70" s="3">
        <v>3200000</v>
      </c>
    </row>
    <row r="71" spans="4:14" x14ac:dyDescent="0.3">
      <c r="D71" s="3">
        <v>300000</v>
      </c>
      <c r="F71" s="3">
        <v>300000</v>
      </c>
      <c r="H71" s="3">
        <v>500000</v>
      </c>
      <c r="J71" s="3">
        <v>500000</v>
      </c>
      <c r="L71" s="3">
        <v>1600000</v>
      </c>
      <c r="N71" s="3">
        <v>3200000</v>
      </c>
    </row>
    <row r="72" spans="4:14" x14ac:dyDescent="0.3">
      <c r="D72" s="3">
        <v>300000</v>
      </c>
      <c r="F72" s="3">
        <v>300000</v>
      </c>
      <c r="H72" s="3">
        <v>500000</v>
      </c>
      <c r="J72" s="3">
        <v>500000</v>
      </c>
      <c r="L72" s="3">
        <v>1600000</v>
      </c>
      <c r="N72" s="3">
        <v>3200000</v>
      </c>
    </row>
    <row r="73" spans="4:14" x14ac:dyDescent="0.3">
      <c r="D73" s="3">
        <v>300000</v>
      </c>
      <c r="F73" s="3">
        <v>300000</v>
      </c>
      <c r="H73" s="3">
        <v>500000</v>
      </c>
      <c r="J73" s="3">
        <v>500000</v>
      </c>
      <c r="L73" s="3">
        <v>1600000</v>
      </c>
      <c r="N73" s="3">
        <v>3200000</v>
      </c>
    </row>
    <row r="74" spans="4:14" x14ac:dyDescent="0.3">
      <c r="D74" s="3">
        <v>300000</v>
      </c>
      <c r="F74" s="3">
        <v>300000</v>
      </c>
      <c r="H74" s="3">
        <v>500000</v>
      </c>
      <c r="J74" s="3">
        <v>500000</v>
      </c>
      <c r="L74" s="3">
        <v>1600000</v>
      </c>
      <c r="N74" s="3">
        <v>3200000</v>
      </c>
    </row>
    <row r="75" spans="4:14" x14ac:dyDescent="0.3">
      <c r="D75" s="3">
        <v>300000</v>
      </c>
      <c r="F75" s="3">
        <v>300000</v>
      </c>
      <c r="H75" s="3">
        <v>500000</v>
      </c>
      <c r="J75" s="3">
        <v>500000</v>
      </c>
      <c r="L75" s="3">
        <v>1600000</v>
      </c>
      <c r="N75" s="3">
        <v>3200000</v>
      </c>
    </row>
    <row r="76" spans="4:14" x14ac:dyDescent="0.3">
      <c r="D76" s="3">
        <v>300000</v>
      </c>
      <c r="F76" s="3">
        <v>300000</v>
      </c>
      <c r="H76" s="3">
        <v>500000</v>
      </c>
      <c r="J76" s="3">
        <v>500000</v>
      </c>
      <c r="L76" s="3">
        <v>1600000</v>
      </c>
      <c r="N76" s="3">
        <v>3200000</v>
      </c>
    </row>
    <row r="77" spans="4:14" x14ac:dyDescent="0.3">
      <c r="D77" s="3">
        <v>300000</v>
      </c>
      <c r="F77" s="3">
        <v>300000</v>
      </c>
      <c r="H77" s="3">
        <v>500000</v>
      </c>
      <c r="J77" s="3">
        <v>500000</v>
      </c>
      <c r="L77" s="3">
        <v>1600000</v>
      </c>
      <c r="N77" s="3">
        <v>3200000</v>
      </c>
    </row>
    <row r="78" spans="4:14" x14ac:dyDescent="0.3">
      <c r="D78" s="3">
        <v>300000</v>
      </c>
      <c r="F78" s="3">
        <v>300000</v>
      </c>
      <c r="H78" s="3">
        <v>500000</v>
      </c>
      <c r="J78" s="3">
        <v>500000</v>
      </c>
      <c r="L78" s="3">
        <v>1600000</v>
      </c>
      <c r="N78" s="3">
        <v>3200000</v>
      </c>
    </row>
    <row r="79" spans="4:14" x14ac:dyDescent="0.3">
      <c r="D79" s="3">
        <v>300000</v>
      </c>
      <c r="F79" s="3">
        <v>300000</v>
      </c>
      <c r="H79" s="3">
        <v>500000</v>
      </c>
      <c r="J79" s="3">
        <v>500000</v>
      </c>
      <c r="L79" s="3">
        <v>1600000</v>
      </c>
      <c r="N79" s="3">
        <v>3200000</v>
      </c>
    </row>
    <row r="80" spans="4:14" x14ac:dyDescent="0.3">
      <c r="D80" s="3">
        <v>300000</v>
      </c>
      <c r="F80" s="3">
        <v>300000</v>
      </c>
      <c r="H80" s="3">
        <v>500000</v>
      </c>
      <c r="J80" s="3">
        <v>500000</v>
      </c>
      <c r="L80" s="3">
        <v>1600000</v>
      </c>
      <c r="N80" s="3">
        <v>3200000</v>
      </c>
    </row>
    <row r="81" spans="4:14" x14ac:dyDescent="0.3">
      <c r="D81" s="3">
        <v>300000</v>
      </c>
      <c r="F81" s="3">
        <v>300000</v>
      </c>
      <c r="H81" s="3">
        <v>500000</v>
      </c>
      <c r="J81" s="3">
        <v>500000</v>
      </c>
      <c r="L81" s="3">
        <v>1600000</v>
      </c>
      <c r="N81" s="3">
        <v>3200000</v>
      </c>
    </row>
    <row r="82" spans="4:14" x14ac:dyDescent="0.3">
      <c r="D82" s="3">
        <v>300000</v>
      </c>
      <c r="F82" s="3">
        <v>300000</v>
      </c>
      <c r="H82" s="3">
        <v>500000</v>
      </c>
      <c r="J82" s="3">
        <v>500000</v>
      </c>
      <c r="L82" s="3">
        <v>1600000</v>
      </c>
      <c r="N82" s="3">
        <v>3200000</v>
      </c>
    </row>
    <row r="83" spans="4:14" x14ac:dyDescent="0.3">
      <c r="D83" s="3">
        <v>300000</v>
      </c>
      <c r="F83" s="3">
        <v>300000</v>
      </c>
      <c r="H83" s="3">
        <v>500000</v>
      </c>
      <c r="J83" s="3">
        <v>500000</v>
      </c>
      <c r="L83" s="3">
        <v>1600000</v>
      </c>
      <c r="N83" s="3">
        <v>3200000</v>
      </c>
    </row>
    <row r="84" spans="4:14" x14ac:dyDescent="0.3">
      <c r="D84" s="3">
        <v>300000</v>
      </c>
      <c r="F84" s="3">
        <v>300000</v>
      </c>
      <c r="H84" s="3">
        <v>500000</v>
      </c>
      <c r="J84" s="3">
        <v>500000</v>
      </c>
      <c r="L84" s="3">
        <v>1600000</v>
      </c>
      <c r="N84" s="3">
        <v>3200000</v>
      </c>
    </row>
    <row r="85" spans="4:14" x14ac:dyDescent="0.3">
      <c r="D85" s="3">
        <v>300000</v>
      </c>
      <c r="F85" s="3">
        <v>300000</v>
      </c>
      <c r="H85" s="3">
        <v>500000</v>
      </c>
      <c r="J85" s="3">
        <v>500000</v>
      </c>
      <c r="L85" s="3">
        <v>1600000</v>
      </c>
      <c r="N85" s="3">
        <v>3200000</v>
      </c>
    </row>
    <row r="86" spans="4:14" x14ac:dyDescent="0.3">
      <c r="D86" s="3">
        <v>300000</v>
      </c>
      <c r="F86" s="3">
        <v>300000</v>
      </c>
      <c r="H86" s="3">
        <v>500000</v>
      </c>
      <c r="J86" s="3">
        <v>500000</v>
      </c>
      <c r="L86" s="3">
        <v>1600000</v>
      </c>
      <c r="N86" s="3">
        <v>3200000</v>
      </c>
    </row>
    <row r="87" spans="4:14" x14ac:dyDescent="0.3">
      <c r="D87" s="3">
        <v>300000</v>
      </c>
      <c r="F87" s="3">
        <v>300000</v>
      </c>
      <c r="H87" s="3">
        <v>500000</v>
      </c>
      <c r="J87" s="3">
        <v>500000</v>
      </c>
      <c r="L87" s="3">
        <v>1600000</v>
      </c>
      <c r="N87" s="3">
        <v>3200000</v>
      </c>
    </row>
    <row r="88" spans="4:14" x14ac:dyDescent="0.3">
      <c r="D88" s="3">
        <v>300000</v>
      </c>
      <c r="F88" s="3">
        <v>300000</v>
      </c>
      <c r="H88" s="3">
        <v>500000</v>
      </c>
      <c r="J88" s="3">
        <v>500000</v>
      </c>
      <c r="L88" s="3">
        <v>1600000</v>
      </c>
      <c r="N88" s="3">
        <v>3200000</v>
      </c>
    </row>
    <row r="89" spans="4:14" x14ac:dyDescent="0.3">
      <c r="D89" s="3">
        <v>300000</v>
      </c>
      <c r="F89" s="3">
        <v>300000</v>
      </c>
      <c r="H89" s="3">
        <v>500000</v>
      </c>
      <c r="J89" s="3">
        <v>500000</v>
      </c>
      <c r="L89" s="3">
        <v>1600000</v>
      </c>
      <c r="N89" s="3">
        <v>3200000</v>
      </c>
    </row>
    <row r="90" spans="4:14" x14ac:dyDescent="0.3">
      <c r="D90" s="3">
        <v>300000</v>
      </c>
      <c r="F90" s="3">
        <v>300000</v>
      </c>
      <c r="H90" s="3">
        <v>500000</v>
      </c>
      <c r="J90" s="3">
        <v>500000</v>
      </c>
      <c r="L90" s="3">
        <v>1600000</v>
      </c>
      <c r="N90" s="3">
        <v>3200000</v>
      </c>
    </row>
    <row r="91" spans="4:14" x14ac:dyDescent="0.3">
      <c r="D91" s="3">
        <v>300000</v>
      </c>
      <c r="F91" s="3">
        <v>300000</v>
      </c>
      <c r="H91" s="3">
        <v>500000</v>
      </c>
      <c r="J91" s="3">
        <v>500000</v>
      </c>
      <c r="L91" s="3">
        <v>1600000</v>
      </c>
      <c r="N91" s="3">
        <v>3200000</v>
      </c>
    </row>
    <row r="92" spans="4:14" x14ac:dyDescent="0.3">
      <c r="D92" s="3">
        <v>300000</v>
      </c>
      <c r="F92" s="3">
        <v>300000</v>
      </c>
      <c r="H92" s="3">
        <v>500000</v>
      </c>
      <c r="J92" s="3">
        <v>500000</v>
      </c>
      <c r="L92" s="3">
        <v>1600000</v>
      </c>
      <c r="N92" s="3">
        <v>3200000</v>
      </c>
    </row>
    <row r="93" spans="4:14" x14ac:dyDescent="0.3">
      <c r="D93" s="3">
        <v>300000</v>
      </c>
      <c r="F93" s="3">
        <v>300000</v>
      </c>
      <c r="H93" s="3">
        <v>500000</v>
      </c>
      <c r="J93" s="3">
        <v>500000</v>
      </c>
      <c r="L93" s="3">
        <v>1600000</v>
      </c>
      <c r="N93" s="3">
        <v>3200000</v>
      </c>
    </row>
    <row r="94" spans="4:14" x14ac:dyDescent="0.3">
      <c r="D94" s="3">
        <v>300000</v>
      </c>
      <c r="F94" s="3">
        <v>300000</v>
      </c>
      <c r="H94" s="3">
        <v>500000</v>
      </c>
      <c r="J94" s="3">
        <v>500000</v>
      </c>
      <c r="L94" s="3">
        <v>1600000</v>
      </c>
      <c r="N94" s="3">
        <v>3200000</v>
      </c>
    </row>
    <row r="95" spans="4:14" x14ac:dyDescent="0.3">
      <c r="D95" s="3">
        <v>300000</v>
      </c>
      <c r="F95" s="3">
        <v>300000</v>
      </c>
      <c r="H95" s="3">
        <v>500000</v>
      </c>
      <c r="J95" s="3">
        <v>500000</v>
      </c>
      <c r="L95" s="3">
        <v>1600000</v>
      </c>
      <c r="N95" s="3">
        <v>3200000</v>
      </c>
    </row>
    <row r="96" spans="4:14" x14ac:dyDescent="0.3">
      <c r="D96" s="3">
        <v>300000</v>
      </c>
      <c r="F96" s="3">
        <v>300000</v>
      </c>
      <c r="H96" s="3">
        <v>500000</v>
      </c>
      <c r="J96" s="3">
        <v>500000</v>
      </c>
      <c r="L96" s="3">
        <v>1600000</v>
      </c>
      <c r="N96" s="3">
        <v>3200000</v>
      </c>
    </row>
    <row r="97" spans="4:14" x14ac:dyDescent="0.3">
      <c r="D97" s="3">
        <v>300000</v>
      </c>
      <c r="F97" s="3">
        <v>300000</v>
      </c>
      <c r="H97" s="3">
        <v>500000</v>
      </c>
      <c r="J97" s="3">
        <v>500000</v>
      </c>
      <c r="L97" s="3">
        <v>1600000</v>
      </c>
      <c r="N97" s="3">
        <v>3200000</v>
      </c>
    </row>
    <row r="98" spans="4:14" x14ac:dyDescent="0.3">
      <c r="D98" s="3">
        <v>300000</v>
      </c>
      <c r="F98" s="3">
        <v>300000</v>
      </c>
      <c r="H98" s="3">
        <v>500000</v>
      </c>
      <c r="J98" s="3">
        <v>500000</v>
      </c>
      <c r="L98" s="3">
        <v>1600000</v>
      </c>
      <c r="N98" s="3">
        <v>3200000</v>
      </c>
    </row>
    <row r="99" spans="4:14" x14ac:dyDescent="0.3">
      <c r="D99" s="3">
        <v>300000</v>
      </c>
      <c r="F99" s="3">
        <v>300000</v>
      </c>
      <c r="H99" s="3">
        <v>500000</v>
      </c>
      <c r="J99" s="3">
        <v>500000</v>
      </c>
      <c r="L99" s="3">
        <v>1600000</v>
      </c>
      <c r="N99" s="3">
        <v>3200000</v>
      </c>
    </row>
    <row r="100" spans="4:14" x14ac:dyDescent="0.3">
      <c r="D100" s="3">
        <v>300000</v>
      </c>
      <c r="F100" s="3">
        <v>300000</v>
      </c>
      <c r="H100" s="3">
        <v>500000</v>
      </c>
      <c r="J100" s="3">
        <v>500000</v>
      </c>
      <c r="L100" s="3">
        <v>1600000</v>
      </c>
      <c r="N100" s="3">
        <v>3200000</v>
      </c>
    </row>
    <row r="101" spans="4:14" x14ac:dyDescent="0.3">
      <c r="D101" s="3">
        <v>300000</v>
      </c>
      <c r="F101" s="3">
        <v>300000</v>
      </c>
      <c r="H101" s="3">
        <v>500000</v>
      </c>
      <c r="J101" s="3">
        <v>500000</v>
      </c>
      <c r="L101" s="3">
        <v>1600000</v>
      </c>
      <c r="N101" s="3">
        <v>3200000</v>
      </c>
    </row>
    <row r="102" spans="4:14" x14ac:dyDescent="0.3">
      <c r="D102" s="3">
        <v>300000</v>
      </c>
      <c r="F102" s="3">
        <v>300000</v>
      </c>
      <c r="H102" s="3">
        <v>500000</v>
      </c>
      <c r="J102" s="3">
        <v>500000</v>
      </c>
      <c r="L102" s="3">
        <v>1600000</v>
      </c>
      <c r="N102" s="3">
        <v>3200000</v>
      </c>
    </row>
    <row r="103" spans="4:14" x14ac:dyDescent="0.3">
      <c r="D103" s="3">
        <v>300000</v>
      </c>
      <c r="F103" s="3">
        <v>300000</v>
      </c>
      <c r="H103" s="3">
        <v>500000</v>
      </c>
      <c r="J103" s="3">
        <v>500000</v>
      </c>
      <c r="L103" s="3">
        <v>1600000</v>
      </c>
      <c r="N103" s="3">
        <v>3200000</v>
      </c>
    </row>
    <row r="104" spans="4:14" x14ac:dyDescent="0.3">
      <c r="D104" s="3">
        <v>300000</v>
      </c>
      <c r="F104" s="3">
        <v>300000</v>
      </c>
      <c r="H104" s="3">
        <v>500000</v>
      </c>
      <c r="J104" s="3">
        <v>500000</v>
      </c>
      <c r="L104" s="3">
        <v>1600000</v>
      </c>
      <c r="N104" s="3">
        <v>3200000</v>
      </c>
    </row>
    <row r="105" spans="4:14" x14ac:dyDescent="0.3">
      <c r="D105" s="3">
        <v>300000</v>
      </c>
      <c r="F105" s="3">
        <v>300000</v>
      </c>
      <c r="H105" s="3">
        <v>500000</v>
      </c>
      <c r="J105" s="3">
        <v>500000</v>
      </c>
      <c r="L105" s="3">
        <v>1600000</v>
      </c>
      <c r="N105" s="3">
        <v>3200000</v>
      </c>
    </row>
    <row r="106" spans="4:14" x14ac:dyDescent="0.3">
      <c r="D106" s="3">
        <v>300000</v>
      </c>
      <c r="F106" s="3">
        <v>300000</v>
      </c>
      <c r="H106" s="3">
        <v>500000</v>
      </c>
      <c r="J106" s="3">
        <v>500000</v>
      </c>
      <c r="L106" s="3">
        <v>1600000</v>
      </c>
      <c r="N106" s="3">
        <v>3200000</v>
      </c>
    </row>
    <row r="107" spans="4:14" x14ac:dyDescent="0.3">
      <c r="D107" s="3">
        <v>300000</v>
      </c>
      <c r="F107" s="3">
        <v>300000</v>
      </c>
      <c r="H107" s="3">
        <v>500000</v>
      </c>
      <c r="J107" s="3">
        <v>500000</v>
      </c>
      <c r="L107" s="3">
        <v>1600000</v>
      </c>
      <c r="N107" s="3">
        <v>3200000</v>
      </c>
    </row>
    <row r="108" spans="4:14" x14ac:dyDescent="0.3">
      <c r="D108" s="3">
        <v>300000</v>
      </c>
      <c r="F108" s="3">
        <v>300000</v>
      </c>
      <c r="H108" s="3">
        <v>500000</v>
      </c>
      <c r="J108" s="3">
        <v>500000</v>
      </c>
      <c r="L108" s="3">
        <v>1600000</v>
      </c>
      <c r="N108" s="3">
        <v>3200000</v>
      </c>
    </row>
    <row r="109" spans="4:14" x14ac:dyDescent="0.3">
      <c r="D109" s="3">
        <v>300000</v>
      </c>
      <c r="F109" s="3">
        <v>300000</v>
      </c>
      <c r="H109" s="3">
        <v>500000</v>
      </c>
      <c r="J109" s="3">
        <v>500000</v>
      </c>
      <c r="L109" s="3">
        <v>1600000</v>
      </c>
      <c r="N109" s="3">
        <v>3200000</v>
      </c>
    </row>
    <row r="110" spans="4:14" x14ac:dyDescent="0.3">
      <c r="D110" s="3">
        <v>300000</v>
      </c>
      <c r="F110" s="3">
        <v>300000</v>
      </c>
      <c r="H110" s="3">
        <v>500000</v>
      </c>
      <c r="J110" s="3">
        <v>500000</v>
      </c>
      <c r="L110" s="3">
        <v>1600000</v>
      </c>
      <c r="N110" s="3">
        <v>3200000</v>
      </c>
    </row>
    <row r="111" spans="4:14" x14ac:dyDescent="0.3">
      <c r="D111" s="3">
        <v>300000</v>
      </c>
      <c r="F111" s="3">
        <v>300000</v>
      </c>
      <c r="H111" s="3">
        <v>500000</v>
      </c>
      <c r="J111" s="3">
        <v>500000</v>
      </c>
      <c r="L111" s="3">
        <v>1600000</v>
      </c>
      <c r="N111" s="3">
        <v>3200000</v>
      </c>
    </row>
    <row r="112" spans="4:14" x14ac:dyDescent="0.3">
      <c r="D112" s="3">
        <v>300000</v>
      </c>
      <c r="F112" s="3">
        <v>300000</v>
      </c>
      <c r="H112" s="3">
        <v>500000</v>
      </c>
      <c r="J112" s="3">
        <v>500000</v>
      </c>
      <c r="L112" s="3">
        <v>1600000</v>
      </c>
      <c r="N112" s="3">
        <v>3200000</v>
      </c>
    </row>
    <row r="113" spans="4:14" x14ac:dyDescent="0.3">
      <c r="D113" s="3">
        <v>300000</v>
      </c>
      <c r="F113" s="3">
        <v>300000</v>
      </c>
      <c r="H113" s="3">
        <v>500000</v>
      </c>
      <c r="J113" s="3">
        <v>500000</v>
      </c>
      <c r="L113" s="3">
        <v>1600000</v>
      </c>
      <c r="N113" s="3">
        <v>3200000</v>
      </c>
    </row>
    <row r="114" spans="4:14" x14ac:dyDescent="0.3">
      <c r="D114" s="3">
        <v>300000</v>
      </c>
      <c r="F114" s="3">
        <v>300000</v>
      </c>
      <c r="H114" s="3">
        <v>500000</v>
      </c>
      <c r="J114" s="3">
        <v>500000</v>
      </c>
      <c r="L114" s="3">
        <v>1600000</v>
      </c>
      <c r="N114" s="3">
        <v>3200000</v>
      </c>
    </row>
    <row r="115" spans="4:14" x14ac:dyDescent="0.3">
      <c r="D115" s="3">
        <v>300000</v>
      </c>
      <c r="F115" s="3">
        <v>300000</v>
      </c>
      <c r="H115" s="3">
        <v>500000</v>
      </c>
      <c r="J115" s="3">
        <v>500000</v>
      </c>
      <c r="L115" s="3">
        <v>1600000</v>
      </c>
      <c r="N115" s="3">
        <v>3200000</v>
      </c>
    </row>
    <row r="116" spans="4:14" x14ac:dyDescent="0.3">
      <c r="D116" s="3">
        <v>300000</v>
      </c>
      <c r="F116" s="3">
        <v>300000</v>
      </c>
      <c r="H116" s="3">
        <v>500000</v>
      </c>
      <c r="J116" s="3">
        <v>500000</v>
      </c>
      <c r="L116" s="3">
        <v>1600000</v>
      </c>
      <c r="N116" s="3">
        <v>3200000</v>
      </c>
    </row>
    <row r="117" spans="4:14" x14ac:dyDescent="0.3">
      <c r="D117" s="3">
        <v>300000</v>
      </c>
      <c r="F117" s="3">
        <v>300000</v>
      </c>
      <c r="H117" s="3">
        <v>500000</v>
      </c>
      <c r="J117" s="3">
        <v>500000</v>
      </c>
      <c r="L117" s="3">
        <v>1600000</v>
      </c>
      <c r="N117" s="3">
        <v>3200000</v>
      </c>
    </row>
    <row r="118" spans="4:14" x14ac:dyDescent="0.3">
      <c r="D118" s="3">
        <v>300000</v>
      </c>
      <c r="F118" s="3">
        <v>300000</v>
      </c>
      <c r="H118" s="3">
        <v>500000</v>
      </c>
      <c r="J118" s="3">
        <v>500000</v>
      </c>
      <c r="L118" s="3">
        <v>1600000</v>
      </c>
      <c r="N118" s="3">
        <v>3200000</v>
      </c>
    </row>
    <row r="119" spans="4:14" x14ac:dyDescent="0.3">
      <c r="D119" s="3">
        <v>300000</v>
      </c>
      <c r="F119" s="3">
        <v>300000</v>
      </c>
      <c r="H119" s="3">
        <v>500000</v>
      </c>
      <c r="J119" s="3">
        <v>500000</v>
      </c>
      <c r="L119" s="3">
        <v>1600000</v>
      </c>
      <c r="N119" s="3">
        <v>3200000</v>
      </c>
    </row>
    <row r="120" spans="4:14" x14ac:dyDescent="0.3">
      <c r="D120" s="3">
        <v>300000</v>
      </c>
      <c r="F120" s="3">
        <v>300000</v>
      </c>
      <c r="H120" s="3">
        <v>500000</v>
      </c>
      <c r="J120" s="3">
        <v>500000</v>
      </c>
      <c r="L120" s="3">
        <v>1600000</v>
      </c>
      <c r="N120" s="3">
        <v>3200000</v>
      </c>
    </row>
    <row r="121" spans="4:14" x14ac:dyDescent="0.3">
      <c r="D121" s="3">
        <v>300000</v>
      </c>
      <c r="F121" s="3">
        <v>300000</v>
      </c>
      <c r="H121" s="3">
        <v>500000</v>
      </c>
      <c r="J121" s="3">
        <v>500000</v>
      </c>
      <c r="L121" s="3">
        <v>1600000</v>
      </c>
      <c r="N121" s="3">
        <v>3200000</v>
      </c>
    </row>
    <row r="122" spans="4:14" x14ac:dyDescent="0.3">
      <c r="D122" s="3">
        <v>300000</v>
      </c>
      <c r="F122" s="3">
        <v>300000</v>
      </c>
      <c r="H122" s="3">
        <v>500000</v>
      </c>
      <c r="J122" s="3">
        <v>500000</v>
      </c>
      <c r="L122" s="3">
        <v>1600000</v>
      </c>
      <c r="N122" s="3">
        <v>3200000</v>
      </c>
    </row>
    <row r="123" spans="4:14" x14ac:dyDescent="0.3">
      <c r="D123" s="3">
        <v>300000</v>
      </c>
      <c r="F123" s="3">
        <v>300000</v>
      </c>
      <c r="H123" s="3">
        <v>500000</v>
      </c>
      <c r="J123" s="3">
        <v>500000</v>
      </c>
      <c r="L123" s="3">
        <v>1600000</v>
      </c>
      <c r="N123" s="3">
        <v>3200000</v>
      </c>
    </row>
    <row r="124" spans="4:14" x14ac:dyDescent="0.3">
      <c r="D124" s="3">
        <v>300000</v>
      </c>
      <c r="F124" s="3">
        <v>300000</v>
      </c>
      <c r="H124" s="3">
        <v>500000</v>
      </c>
      <c r="J124" s="3">
        <v>500000</v>
      </c>
      <c r="L124" s="3">
        <v>1600000</v>
      </c>
      <c r="N124" s="3">
        <v>3200000</v>
      </c>
    </row>
    <row r="125" spans="4:14" x14ac:dyDescent="0.3">
      <c r="D125" s="3">
        <v>300000</v>
      </c>
      <c r="F125" s="3">
        <v>300000</v>
      </c>
      <c r="H125" s="3">
        <v>500000</v>
      </c>
      <c r="J125" s="3">
        <v>500000</v>
      </c>
      <c r="L125" s="3">
        <v>1600000</v>
      </c>
      <c r="N125" s="3">
        <v>3200000</v>
      </c>
    </row>
    <row r="126" spans="4:14" x14ac:dyDescent="0.3">
      <c r="D126" s="3">
        <v>300000</v>
      </c>
      <c r="F126" s="3">
        <v>300000</v>
      </c>
      <c r="H126" s="3">
        <v>500000</v>
      </c>
      <c r="J126" s="3">
        <v>500000</v>
      </c>
      <c r="L126" s="3">
        <v>1600000</v>
      </c>
      <c r="N126" s="3">
        <v>3200000</v>
      </c>
    </row>
    <row r="127" spans="4:14" x14ac:dyDescent="0.3">
      <c r="D127" s="3">
        <v>300000</v>
      </c>
      <c r="F127" s="3">
        <v>300000</v>
      </c>
      <c r="H127" s="3">
        <v>500000</v>
      </c>
      <c r="J127" s="3">
        <v>500000</v>
      </c>
      <c r="L127" s="3">
        <v>1600000</v>
      </c>
      <c r="N127" s="3">
        <v>3200000</v>
      </c>
    </row>
    <row r="128" spans="4:14" x14ac:dyDescent="0.3">
      <c r="D128" s="3">
        <v>300000</v>
      </c>
      <c r="F128" s="3">
        <v>300000</v>
      </c>
      <c r="H128" s="3">
        <v>500000</v>
      </c>
      <c r="J128" s="3">
        <v>500000</v>
      </c>
      <c r="L128" s="3">
        <v>1600000</v>
      </c>
      <c r="N128" s="3">
        <v>3200000</v>
      </c>
    </row>
    <row r="129" spans="4:14" x14ac:dyDescent="0.3">
      <c r="D129" s="3">
        <v>300000</v>
      </c>
      <c r="F129" s="3">
        <v>300000</v>
      </c>
      <c r="H129" s="3">
        <v>500000</v>
      </c>
      <c r="J129" s="3">
        <v>500000</v>
      </c>
      <c r="L129" s="3">
        <v>1600000</v>
      </c>
      <c r="N129" s="3">
        <v>3200000</v>
      </c>
    </row>
    <row r="130" spans="4:14" x14ac:dyDescent="0.3">
      <c r="D130" s="3">
        <v>300000</v>
      </c>
      <c r="F130" s="3">
        <v>300000</v>
      </c>
      <c r="H130" s="3">
        <v>500000</v>
      </c>
      <c r="J130" s="3">
        <v>500000</v>
      </c>
      <c r="L130" s="3">
        <v>1600000</v>
      </c>
      <c r="N130" s="3">
        <v>3200000</v>
      </c>
    </row>
    <row r="131" spans="4:14" x14ac:dyDescent="0.3">
      <c r="D131" s="3">
        <v>300000</v>
      </c>
      <c r="F131" s="3">
        <v>300000</v>
      </c>
      <c r="H131" s="3">
        <v>500000</v>
      </c>
      <c r="J131" s="3">
        <v>500000</v>
      </c>
      <c r="L131" s="3">
        <v>1600000</v>
      </c>
      <c r="N131" s="3">
        <v>3200000</v>
      </c>
    </row>
    <row r="132" spans="4:14" x14ac:dyDescent="0.3">
      <c r="D132" s="3">
        <v>300000</v>
      </c>
      <c r="F132" s="3">
        <v>300000</v>
      </c>
      <c r="H132" s="3">
        <v>500000</v>
      </c>
      <c r="J132" s="3">
        <v>500000</v>
      </c>
      <c r="L132" s="3">
        <v>1600000</v>
      </c>
      <c r="N132" s="3">
        <v>3200000</v>
      </c>
    </row>
    <row r="133" spans="4:14" x14ac:dyDescent="0.3">
      <c r="D133" s="3">
        <v>300000</v>
      </c>
      <c r="F133" s="3">
        <v>300000</v>
      </c>
      <c r="H133" s="3">
        <v>500000</v>
      </c>
      <c r="J133" s="3">
        <v>500000</v>
      </c>
      <c r="L133" s="3">
        <v>1600000</v>
      </c>
      <c r="N133" s="3">
        <v>3200000</v>
      </c>
    </row>
    <row r="134" spans="4:14" x14ac:dyDescent="0.3">
      <c r="D134" s="3">
        <v>300000</v>
      </c>
      <c r="F134" s="3">
        <v>300000</v>
      </c>
      <c r="H134" s="3">
        <v>500000</v>
      </c>
      <c r="J134" s="3">
        <v>500000</v>
      </c>
      <c r="L134" s="3">
        <v>1600000</v>
      </c>
      <c r="N134" s="3">
        <v>3200000</v>
      </c>
    </row>
    <row r="135" spans="4:14" x14ac:dyDescent="0.3">
      <c r="D135" s="3">
        <v>300000</v>
      </c>
      <c r="F135" s="3">
        <v>300000</v>
      </c>
      <c r="H135" s="3">
        <v>500000</v>
      </c>
      <c r="J135" s="3">
        <v>500000</v>
      </c>
      <c r="L135" s="3">
        <v>1600000</v>
      </c>
      <c r="N135" s="3">
        <v>3200000</v>
      </c>
    </row>
    <row r="136" spans="4:14" x14ac:dyDescent="0.3">
      <c r="D136" s="3">
        <v>300000</v>
      </c>
      <c r="F136" s="3">
        <v>300000</v>
      </c>
      <c r="H136" s="3">
        <v>500000</v>
      </c>
      <c r="J136" s="3">
        <v>500000</v>
      </c>
      <c r="L136" s="3">
        <v>1600000</v>
      </c>
      <c r="N136" s="3">
        <v>3200000</v>
      </c>
    </row>
    <row r="137" spans="4:14" x14ac:dyDescent="0.3">
      <c r="D137" s="3">
        <v>300000</v>
      </c>
      <c r="F137" s="3">
        <v>300000</v>
      </c>
      <c r="H137" s="3">
        <v>500000</v>
      </c>
      <c r="J137" s="3">
        <v>500000</v>
      </c>
      <c r="L137" s="3">
        <v>1600000</v>
      </c>
      <c r="N137" s="3">
        <v>3200000</v>
      </c>
    </row>
    <row r="138" spans="4:14" x14ac:dyDescent="0.3">
      <c r="D138" s="3">
        <v>300000</v>
      </c>
      <c r="F138" s="3">
        <v>300000</v>
      </c>
      <c r="H138" s="3">
        <v>500000</v>
      </c>
      <c r="J138" s="3">
        <v>500000</v>
      </c>
      <c r="L138" s="3">
        <v>1600000</v>
      </c>
      <c r="N138" s="3">
        <v>3200000</v>
      </c>
    </row>
    <row r="139" spans="4:14" x14ac:dyDescent="0.3">
      <c r="D139" s="3">
        <v>300000</v>
      </c>
      <c r="F139" s="3">
        <v>300000</v>
      </c>
      <c r="H139" s="3">
        <v>500000</v>
      </c>
      <c r="J139" s="3">
        <v>500000</v>
      </c>
      <c r="L139" s="3">
        <v>1600000</v>
      </c>
      <c r="N139" s="3">
        <v>3200000</v>
      </c>
    </row>
    <row r="140" spans="4:14" x14ac:dyDescent="0.3">
      <c r="D140" s="3">
        <v>300000</v>
      </c>
      <c r="F140" s="3">
        <v>300000</v>
      </c>
      <c r="H140" s="3">
        <v>500000</v>
      </c>
      <c r="J140" s="3">
        <v>500000</v>
      </c>
      <c r="L140" s="3">
        <v>1600000</v>
      </c>
      <c r="N140" s="3">
        <v>3200000</v>
      </c>
    </row>
    <row r="141" spans="4:14" x14ac:dyDescent="0.3">
      <c r="D141" s="3">
        <v>300000</v>
      </c>
      <c r="F141" s="3">
        <v>300000</v>
      </c>
      <c r="H141" s="3">
        <v>500000</v>
      </c>
      <c r="J141" s="3">
        <v>500000</v>
      </c>
      <c r="L141" s="3">
        <v>1600000</v>
      </c>
      <c r="N141" s="3">
        <v>3200000</v>
      </c>
    </row>
    <row r="142" spans="4:14" x14ac:dyDescent="0.3">
      <c r="D142" s="3">
        <v>300000</v>
      </c>
      <c r="F142" s="3">
        <v>300000</v>
      </c>
      <c r="H142" s="3">
        <v>500000</v>
      </c>
      <c r="J142" s="3">
        <v>500000</v>
      </c>
      <c r="L142" s="3">
        <v>1600000</v>
      </c>
      <c r="N142" s="3">
        <v>3200000</v>
      </c>
    </row>
    <row r="143" spans="4:14" x14ac:dyDescent="0.3">
      <c r="D143" s="3">
        <v>300000</v>
      </c>
      <c r="F143" s="3">
        <v>300000</v>
      </c>
      <c r="H143" s="3">
        <v>500000</v>
      </c>
      <c r="J143" s="3">
        <v>500000</v>
      </c>
      <c r="L143" s="3">
        <v>1600000</v>
      </c>
      <c r="N143" s="3">
        <v>3200000</v>
      </c>
    </row>
    <row r="144" spans="4:14" x14ac:dyDescent="0.3">
      <c r="D144" s="3">
        <v>300000</v>
      </c>
      <c r="F144" s="3">
        <v>300000</v>
      </c>
      <c r="H144" s="3">
        <v>500000</v>
      </c>
      <c r="J144" s="3">
        <v>500000</v>
      </c>
      <c r="L144" s="3">
        <v>1600000</v>
      </c>
      <c r="N144" s="3">
        <v>3200000</v>
      </c>
    </row>
    <row r="145" spans="4:14" x14ac:dyDescent="0.3">
      <c r="D145" s="3">
        <v>300000</v>
      </c>
      <c r="F145" s="3">
        <v>300000</v>
      </c>
      <c r="H145" s="3">
        <v>500000</v>
      </c>
      <c r="J145" s="3">
        <v>500000</v>
      </c>
      <c r="L145" s="3">
        <v>1600000</v>
      </c>
      <c r="N145" s="3">
        <v>3200000</v>
      </c>
    </row>
    <row r="146" spans="4:14" x14ac:dyDescent="0.3">
      <c r="D146" s="3">
        <v>300000</v>
      </c>
      <c r="F146" s="3">
        <v>300000</v>
      </c>
      <c r="H146" s="3">
        <v>500000</v>
      </c>
      <c r="J146" s="3">
        <v>500000</v>
      </c>
      <c r="L146" s="3">
        <v>1600000</v>
      </c>
      <c r="N146" s="3">
        <v>3200000</v>
      </c>
    </row>
    <row r="147" spans="4:14" x14ac:dyDescent="0.3">
      <c r="D147" s="3">
        <v>300000</v>
      </c>
      <c r="F147" s="3">
        <v>300000</v>
      </c>
      <c r="H147" s="3">
        <v>500000</v>
      </c>
      <c r="J147" s="3">
        <v>500000</v>
      </c>
      <c r="L147" s="3">
        <v>1600000</v>
      </c>
      <c r="N147" s="3">
        <v>3200000</v>
      </c>
    </row>
    <row r="148" spans="4:14" x14ac:dyDescent="0.3">
      <c r="D148" s="3">
        <v>300000</v>
      </c>
      <c r="F148" s="3">
        <v>300000</v>
      </c>
      <c r="H148" s="3">
        <v>500000</v>
      </c>
      <c r="J148" s="3">
        <v>500000</v>
      </c>
      <c r="L148" s="3">
        <v>1600000</v>
      </c>
      <c r="N148" s="3">
        <v>3200000</v>
      </c>
    </row>
    <row r="149" spans="4:14" x14ac:dyDescent="0.3">
      <c r="D149" s="3">
        <v>300000</v>
      </c>
      <c r="F149" s="3">
        <v>300000</v>
      </c>
      <c r="H149" s="3">
        <v>500000</v>
      </c>
      <c r="J149" s="3">
        <v>500000</v>
      </c>
      <c r="L149" s="3">
        <v>1600000</v>
      </c>
      <c r="N149" s="3">
        <v>3200000</v>
      </c>
    </row>
    <row r="150" spans="4:14" x14ac:dyDescent="0.3">
      <c r="D150" s="3">
        <v>300000</v>
      </c>
      <c r="F150" s="3">
        <v>300000</v>
      </c>
      <c r="H150" s="3">
        <v>500000</v>
      </c>
      <c r="J150" s="3">
        <v>500000</v>
      </c>
      <c r="L150" s="3">
        <v>1600000</v>
      </c>
      <c r="N150" s="3">
        <v>3200000</v>
      </c>
    </row>
    <row r="151" spans="4:14" x14ac:dyDescent="0.3">
      <c r="D151" s="3">
        <v>300000</v>
      </c>
      <c r="F151" s="3">
        <v>300000</v>
      </c>
      <c r="H151" s="3">
        <v>500000</v>
      </c>
      <c r="J151" s="3">
        <v>500000</v>
      </c>
      <c r="L151" s="3">
        <v>1600000</v>
      </c>
      <c r="N151" s="3">
        <v>3200000</v>
      </c>
    </row>
    <row r="152" spans="4:14" x14ac:dyDescent="0.3">
      <c r="D152" s="3">
        <v>300000</v>
      </c>
      <c r="F152" s="3">
        <v>300000</v>
      </c>
      <c r="H152" s="3">
        <v>500000</v>
      </c>
      <c r="J152" s="3">
        <v>500000</v>
      </c>
      <c r="L152" s="3">
        <v>1600000</v>
      </c>
      <c r="N152" s="3">
        <v>3200000</v>
      </c>
    </row>
    <row r="153" spans="4:14" x14ac:dyDescent="0.3">
      <c r="D153" s="3">
        <v>300000</v>
      </c>
      <c r="F153" s="3">
        <v>300000</v>
      </c>
      <c r="H153" s="3">
        <v>500000</v>
      </c>
      <c r="J153" s="3">
        <v>500000</v>
      </c>
      <c r="L153" s="3">
        <v>1600000</v>
      </c>
      <c r="N153" s="3">
        <v>3200000</v>
      </c>
    </row>
    <row r="154" spans="4:14" x14ac:dyDescent="0.3">
      <c r="D154" s="3">
        <v>300000</v>
      </c>
      <c r="F154" s="3">
        <v>300000</v>
      </c>
      <c r="H154" s="3">
        <v>500000</v>
      </c>
      <c r="J154" s="3">
        <v>500000</v>
      </c>
      <c r="L154" s="3">
        <v>1600000</v>
      </c>
      <c r="N154" s="3">
        <v>3200000</v>
      </c>
    </row>
    <row r="155" spans="4:14" x14ac:dyDescent="0.3">
      <c r="D155" s="3">
        <v>300000</v>
      </c>
      <c r="F155" s="3">
        <v>300000</v>
      </c>
      <c r="H155" s="3">
        <v>500000</v>
      </c>
      <c r="J155" s="3">
        <v>500000</v>
      </c>
      <c r="L155" s="3">
        <v>1600000</v>
      </c>
      <c r="N155" s="3">
        <v>3200000</v>
      </c>
    </row>
    <row r="156" spans="4:14" x14ac:dyDescent="0.3">
      <c r="D156" s="3">
        <v>300000</v>
      </c>
      <c r="F156" s="3">
        <v>300000</v>
      </c>
      <c r="H156" s="3">
        <v>500000</v>
      </c>
      <c r="J156" s="3">
        <v>500000</v>
      </c>
      <c r="L156" s="3">
        <v>1600000</v>
      </c>
      <c r="N156" s="3">
        <v>3200000</v>
      </c>
    </row>
    <row r="157" spans="4:14" x14ac:dyDescent="0.3">
      <c r="D157" s="3">
        <v>300000</v>
      </c>
      <c r="F157" s="3">
        <v>300000</v>
      </c>
      <c r="H157" s="3">
        <v>500000</v>
      </c>
      <c r="J157" s="3">
        <v>500000</v>
      </c>
      <c r="L157" s="3">
        <v>1600000</v>
      </c>
      <c r="N157" s="3">
        <v>3200000</v>
      </c>
    </row>
    <row r="158" spans="4:14" x14ac:dyDescent="0.3">
      <c r="D158" s="3">
        <v>300000</v>
      </c>
      <c r="F158" s="3">
        <v>300000</v>
      </c>
      <c r="H158" s="3">
        <v>500000</v>
      </c>
      <c r="J158" s="3">
        <v>500000</v>
      </c>
      <c r="L158" s="3">
        <v>1600000</v>
      </c>
      <c r="N158" s="3">
        <v>3200000</v>
      </c>
    </row>
    <row r="159" spans="4:14" x14ac:dyDescent="0.3">
      <c r="D159" s="3">
        <v>300000</v>
      </c>
      <c r="F159" s="3">
        <v>300000</v>
      </c>
      <c r="H159" s="3">
        <v>500000</v>
      </c>
      <c r="J159" s="3">
        <v>500000</v>
      </c>
      <c r="L159" s="3">
        <v>1600000</v>
      </c>
      <c r="N159" s="3">
        <v>3200000</v>
      </c>
    </row>
    <row r="160" spans="4:14" x14ac:dyDescent="0.3">
      <c r="D160" s="3">
        <v>300000</v>
      </c>
      <c r="F160" s="3">
        <v>300000</v>
      </c>
      <c r="H160" s="3">
        <v>500000</v>
      </c>
      <c r="J160" s="3">
        <v>500000</v>
      </c>
      <c r="L160" s="3">
        <v>1600000</v>
      </c>
      <c r="N160" s="3">
        <v>3200000</v>
      </c>
    </row>
    <row r="161" spans="4:14" x14ac:dyDescent="0.3">
      <c r="D161" s="3">
        <v>300000</v>
      </c>
      <c r="F161" s="3">
        <v>300000</v>
      </c>
      <c r="H161" s="3">
        <v>500000</v>
      </c>
      <c r="J161" s="3">
        <v>500000</v>
      </c>
      <c r="L161" s="3">
        <v>1600000</v>
      </c>
      <c r="N161" s="3">
        <v>3200000</v>
      </c>
    </row>
    <row r="162" spans="4:14" x14ac:dyDescent="0.3">
      <c r="D162" s="3">
        <v>300000</v>
      </c>
      <c r="F162" s="3">
        <v>300000</v>
      </c>
      <c r="H162" s="3">
        <v>500000</v>
      </c>
      <c r="J162" s="3">
        <v>500000</v>
      </c>
      <c r="L162" s="3">
        <v>1600000</v>
      </c>
      <c r="N162" s="3">
        <v>3200000</v>
      </c>
    </row>
    <row r="163" spans="4:14" x14ac:dyDescent="0.3">
      <c r="D163" s="3">
        <v>300000</v>
      </c>
      <c r="F163" s="3">
        <v>300000</v>
      </c>
      <c r="H163" s="3">
        <v>500000</v>
      </c>
      <c r="J163" s="3">
        <v>500000</v>
      </c>
      <c r="L163" s="3">
        <v>1600000</v>
      </c>
      <c r="N163" s="3">
        <v>3200000</v>
      </c>
    </row>
    <row r="164" spans="4:14" x14ac:dyDescent="0.3">
      <c r="D164" s="3">
        <v>300000</v>
      </c>
      <c r="F164" s="3">
        <v>300000</v>
      </c>
      <c r="H164" s="3">
        <v>500000</v>
      </c>
      <c r="J164" s="3">
        <v>500000</v>
      </c>
      <c r="L164" s="3">
        <v>1600000</v>
      </c>
      <c r="N164" s="3">
        <v>3200000</v>
      </c>
    </row>
    <row r="165" spans="4:14" x14ac:dyDescent="0.3">
      <c r="D165" s="3">
        <v>300000</v>
      </c>
      <c r="F165" s="3">
        <v>300000</v>
      </c>
      <c r="H165" s="3">
        <v>500000</v>
      </c>
      <c r="J165" s="3">
        <v>500000</v>
      </c>
      <c r="L165" s="3">
        <v>1600000</v>
      </c>
      <c r="N165" s="3">
        <v>3200000</v>
      </c>
    </row>
    <row r="166" spans="4:14" x14ac:dyDescent="0.3">
      <c r="D166" s="3">
        <v>300000</v>
      </c>
      <c r="F166" s="3">
        <v>300000</v>
      </c>
      <c r="H166" s="3">
        <v>500000</v>
      </c>
      <c r="J166" s="3">
        <v>500000</v>
      </c>
      <c r="L166" s="3">
        <v>1600000</v>
      </c>
      <c r="N166" s="3">
        <v>3200000</v>
      </c>
    </row>
    <row r="167" spans="4:14" x14ac:dyDescent="0.3">
      <c r="D167" s="3">
        <v>300000</v>
      </c>
      <c r="F167" s="3">
        <v>300000</v>
      </c>
      <c r="H167" s="3">
        <v>500000</v>
      </c>
      <c r="J167" s="3">
        <v>500000</v>
      </c>
      <c r="L167" s="3">
        <v>1600000</v>
      </c>
      <c r="N167" s="3">
        <v>3200000</v>
      </c>
    </row>
    <row r="168" spans="4:14" x14ac:dyDescent="0.3">
      <c r="D168" s="3">
        <v>300000</v>
      </c>
      <c r="F168" s="3">
        <v>300000</v>
      </c>
      <c r="H168" s="3">
        <v>500000</v>
      </c>
      <c r="J168" s="3">
        <v>500000</v>
      </c>
      <c r="L168" s="3">
        <v>1600000</v>
      </c>
      <c r="N168" s="3">
        <v>3200000</v>
      </c>
    </row>
    <row r="169" spans="4:14" x14ac:dyDescent="0.3">
      <c r="D169" s="3">
        <v>300000</v>
      </c>
      <c r="F169" s="3">
        <v>300000</v>
      </c>
      <c r="H169" s="3">
        <v>500000</v>
      </c>
      <c r="J169" s="3">
        <v>500000</v>
      </c>
      <c r="L169" s="3">
        <v>1600000</v>
      </c>
      <c r="N169" s="3">
        <v>3200000</v>
      </c>
    </row>
    <row r="170" spans="4:14" x14ac:dyDescent="0.3">
      <c r="D170" s="3">
        <v>300000</v>
      </c>
      <c r="F170" s="3">
        <v>300000</v>
      </c>
      <c r="H170" s="3">
        <v>500000</v>
      </c>
      <c r="J170" s="3">
        <v>500000</v>
      </c>
      <c r="L170" s="3">
        <v>1600000</v>
      </c>
      <c r="N170" s="3">
        <v>3200000</v>
      </c>
    </row>
    <row r="171" spans="4:14" x14ac:dyDescent="0.3">
      <c r="D171" s="3">
        <v>300000</v>
      </c>
      <c r="F171" s="3">
        <v>300000</v>
      </c>
      <c r="H171" s="3">
        <v>500000</v>
      </c>
      <c r="J171" s="3">
        <v>500000</v>
      </c>
      <c r="L171" s="3">
        <v>1600000</v>
      </c>
      <c r="N171" s="3">
        <v>3200000</v>
      </c>
    </row>
    <row r="172" spans="4:14" x14ac:dyDescent="0.3">
      <c r="D172" s="3">
        <v>300000</v>
      </c>
      <c r="F172" s="3">
        <v>300000</v>
      </c>
      <c r="H172" s="3">
        <v>500000</v>
      </c>
      <c r="J172" s="3">
        <v>500000</v>
      </c>
      <c r="L172" s="3">
        <v>1600000</v>
      </c>
      <c r="N172" s="3">
        <v>3200000</v>
      </c>
    </row>
    <row r="173" spans="4:14" x14ac:dyDescent="0.3">
      <c r="D173" s="3">
        <v>300000</v>
      </c>
      <c r="F173" s="3">
        <v>300000</v>
      </c>
      <c r="H173" s="3">
        <v>500000</v>
      </c>
      <c r="J173" s="3">
        <v>500000</v>
      </c>
      <c r="L173" s="3">
        <v>1600000</v>
      </c>
      <c r="N173" s="3">
        <v>3200000</v>
      </c>
    </row>
    <row r="174" spans="4:14" x14ac:dyDescent="0.3">
      <c r="D174" s="3">
        <v>300000</v>
      </c>
      <c r="F174" s="3">
        <v>300000</v>
      </c>
      <c r="H174" s="3">
        <v>500000</v>
      </c>
      <c r="J174" s="3">
        <v>500000</v>
      </c>
      <c r="L174" s="3">
        <v>1600000</v>
      </c>
      <c r="N174" s="3">
        <v>3200000</v>
      </c>
    </row>
    <row r="175" spans="4:14" x14ac:dyDescent="0.3">
      <c r="D175" s="3">
        <v>300000</v>
      </c>
      <c r="F175" s="3">
        <v>300000</v>
      </c>
      <c r="H175" s="3">
        <v>500000</v>
      </c>
      <c r="J175" s="3">
        <v>500000</v>
      </c>
      <c r="L175" s="3">
        <v>1600000</v>
      </c>
      <c r="N175" s="3">
        <v>3200000</v>
      </c>
    </row>
    <row r="176" spans="4:14" x14ac:dyDescent="0.3">
      <c r="D176" s="3">
        <v>300000</v>
      </c>
      <c r="F176" s="3">
        <v>300000</v>
      </c>
      <c r="H176" s="3">
        <v>500000</v>
      </c>
      <c r="J176" s="3">
        <v>500000</v>
      </c>
      <c r="L176" s="3">
        <v>1600000</v>
      </c>
      <c r="N176" s="3">
        <v>3200000</v>
      </c>
    </row>
    <row r="177" spans="4:14" x14ac:dyDescent="0.3">
      <c r="D177" s="3">
        <v>300000</v>
      </c>
      <c r="F177" s="3">
        <v>300000</v>
      </c>
      <c r="H177" s="3">
        <v>500000</v>
      </c>
      <c r="J177" s="3">
        <v>500000</v>
      </c>
      <c r="L177" s="3">
        <v>1600000</v>
      </c>
      <c r="N177" s="3">
        <v>3200000</v>
      </c>
    </row>
    <row r="178" spans="4:14" x14ac:dyDescent="0.3">
      <c r="D178" s="3">
        <v>300000</v>
      </c>
      <c r="F178" s="3">
        <v>300000</v>
      </c>
      <c r="H178" s="3">
        <v>500000</v>
      </c>
      <c r="J178" s="3">
        <v>500000</v>
      </c>
      <c r="L178" s="3">
        <v>1600000</v>
      </c>
      <c r="N178" s="3">
        <v>3200000</v>
      </c>
    </row>
    <row r="179" spans="4:14" x14ac:dyDescent="0.3">
      <c r="D179" s="3">
        <v>300000</v>
      </c>
      <c r="F179" s="3">
        <v>300000</v>
      </c>
      <c r="H179" s="3">
        <v>500000</v>
      </c>
      <c r="J179" s="3">
        <v>500000</v>
      </c>
      <c r="L179" s="3">
        <v>1600000</v>
      </c>
      <c r="N179" s="3">
        <v>3200000</v>
      </c>
    </row>
    <row r="180" spans="4:14" x14ac:dyDescent="0.3">
      <c r="D180" s="3">
        <v>300000</v>
      </c>
      <c r="F180" s="3">
        <v>300000</v>
      </c>
      <c r="H180" s="3">
        <v>500000</v>
      </c>
      <c r="J180" s="3">
        <v>500000</v>
      </c>
      <c r="L180" s="3">
        <v>1600000</v>
      </c>
      <c r="N180" s="3">
        <v>3200000</v>
      </c>
    </row>
    <row r="181" spans="4:14" x14ac:dyDescent="0.3">
      <c r="D181" s="3">
        <v>300000</v>
      </c>
      <c r="F181" s="3">
        <v>300000</v>
      </c>
      <c r="H181" s="3">
        <v>500000</v>
      </c>
      <c r="J181" s="3">
        <v>500000</v>
      </c>
      <c r="L181" s="3">
        <v>1600000</v>
      </c>
      <c r="N181" s="3">
        <v>3200000</v>
      </c>
    </row>
    <row r="182" spans="4:14" x14ac:dyDescent="0.3">
      <c r="D182" s="3">
        <v>300000</v>
      </c>
      <c r="F182" s="3">
        <v>300000</v>
      </c>
      <c r="H182" s="3">
        <v>500000</v>
      </c>
      <c r="J182" s="3">
        <v>500000</v>
      </c>
      <c r="L182" s="3">
        <v>1600000</v>
      </c>
      <c r="N182" s="3">
        <v>3200000</v>
      </c>
    </row>
    <row r="183" spans="4:14" x14ac:dyDescent="0.3">
      <c r="D183" s="3">
        <v>300000</v>
      </c>
      <c r="F183" s="3">
        <v>300000</v>
      </c>
      <c r="H183" s="3">
        <v>500000</v>
      </c>
      <c r="J183" s="3">
        <v>500000</v>
      </c>
      <c r="L183" s="3">
        <v>1600000</v>
      </c>
      <c r="N183" s="3">
        <v>3200000</v>
      </c>
    </row>
    <row r="184" spans="4:14" x14ac:dyDescent="0.3">
      <c r="D184" s="3">
        <v>300000</v>
      </c>
      <c r="F184" s="3">
        <v>300000</v>
      </c>
      <c r="H184" s="3">
        <v>500000</v>
      </c>
      <c r="J184" s="3">
        <v>500000</v>
      </c>
      <c r="L184" s="3">
        <v>1600000</v>
      </c>
      <c r="N184" s="3">
        <v>3200000</v>
      </c>
    </row>
    <row r="185" spans="4:14" x14ac:dyDescent="0.3">
      <c r="D185" s="3">
        <v>300000</v>
      </c>
      <c r="F185" s="3">
        <v>300000</v>
      </c>
      <c r="H185" s="3">
        <v>500000</v>
      </c>
      <c r="J185" s="3">
        <v>500000</v>
      </c>
      <c r="L185" s="3">
        <v>1600000</v>
      </c>
      <c r="N185" s="3">
        <v>3200000</v>
      </c>
    </row>
    <row r="186" spans="4:14" x14ac:dyDescent="0.3">
      <c r="D186" s="3">
        <v>300000</v>
      </c>
      <c r="F186" s="3">
        <v>300000</v>
      </c>
      <c r="H186" s="3">
        <v>500000</v>
      </c>
      <c r="J186" s="3">
        <v>500000</v>
      </c>
      <c r="L186" s="3">
        <v>1600000</v>
      </c>
      <c r="N186" s="3">
        <v>3200000</v>
      </c>
    </row>
    <row r="187" spans="4:14" x14ac:dyDescent="0.3">
      <c r="D187" s="3">
        <v>300000</v>
      </c>
      <c r="F187" s="3">
        <v>300000</v>
      </c>
      <c r="H187" s="3">
        <v>500000</v>
      </c>
      <c r="J187" s="3">
        <v>500000</v>
      </c>
      <c r="L187" s="3">
        <v>1600000</v>
      </c>
      <c r="N187" s="3">
        <v>3200000</v>
      </c>
    </row>
    <row r="188" spans="4:14" x14ac:dyDescent="0.3">
      <c r="D188" s="3">
        <v>300000</v>
      </c>
      <c r="F188" s="3">
        <v>300000</v>
      </c>
      <c r="H188" s="3">
        <v>500000</v>
      </c>
      <c r="J188" s="3">
        <v>500000</v>
      </c>
      <c r="L188" s="3">
        <v>1600000</v>
      </c>
      <c r="N188" s="3">
        <v>3200000</v>
      </c>
    </row>
    <row r="189" spans="4:14" x14ac:dyDescent="0.3">
      <c r="D189" s="3">
        <v>300000</v>
      </c>
      <c r="F189" s="3">
        <v>300000</v>
      </c>
      <c r="H189" s="3">
        <v>500000</v>
      </c>
      <c r="J189" s="3">
        <v>500000</v>
      </c>
      <c r="L189" s="3">
        <v>1600000</v>
      </c>
      <c r="N189" s="3">
        <v>3200000</v>
      </c>
    </row>
    <row r="190" spans="4:14" x14ac:dyDescent="0.3">
      <c r="D190" s="3">
        <v>300000</v>
      </c>
      <c r="F190" s="3">
        <v>300000</v>
      </c>
      <c r="H190" s="3">
        <v>500000</v>
      </c>
      <c r="J190" s="3">
        <v>500000</v>
      </c>
      <c r="L190" s="3">
        <v>1600000</v>
      </c>
      <c r="N190" s="3">
        <v>3200000</v>
      </c>
    </row>
    <row r="191" spans="4:14" x14ac:dyDescent="0.3">
      <c r="D191" s="3">
        <v>300000</v>
      </c>
      <c r="F191" s="3">
        <v>300000</v>
      </c>
      <c r="H191" s="3">
        <v>500000</v>
      </c>
      <c r="J191" s="3">
        <v>500000</v>
      </c>
      <c r="L191" s="3">
        <v>1600000</v>
      </c>
      <c r="N191" s="3">
        <v>3200000</v>
      </c>
    </row>
    <row r="192" spans="4:14" x14ac:dyDescent="0.3">
      <c r="D192" s="3">
        <v>300000</v>
      </c>
      <c r="F192" s="3">
        <v>300000</v>
      </c>
      <c r="H192" s="3">
        <v>500000</v>
      </c>
      <c r="J192" s="3">
        <v>500000</v>
      </c>
      <c r="L192" s="3">
        <v>1600000</v>
      </c>
      <c r="N192" s="3">
        <v>3200000</v>
      </c>
    </row>
    <row r="193" spans="4:14" x14ac:dyDescent="0.3">
      <c r="D193" s="3">
        <v>300000</v>
      </c>
      <c r="F193" s="3">
        <v>300000</v>
      </c>
      <c r="H193" s="3">
        <v>500000</v>
      </c>
      <c r="J193" s="3">
        <v>500000</v>
      </c>
      <c r="L193" s="3">
        <v>1600000</v>
      </c>
      <c r="N193" s="3">
        <v>3200000</v>
      </c>
    </row>
    <row r="194" spans="4:14" x14ac:dyDescent="0.3">
      <c r="D194" s="3">
        <v>300000</v>
      </c>
      <c r="F194" s="3">
        <v>300000</v>
      </c>
      <c r="H194" s="3">
        <v>500000</v>
      </c>
      <c r="J194" s="3">
        <v>500000</v>
      </c>
      <c r="L194" s="3">
        <v>1600000</v>
      </c>
      <c r="N194" s="3">
        <v>3200000</v>
      </c>
    </row>
    <row r="195" spans="4:14" x14ac:dyDescent="0.3">
      <c r="D195" s="3">
        <v>300000</v>
      </c>
      <c r="F195" s="3">
        <v>300000</v>
      </c>
      <c r="H195" s="3">
        <v>500000</v>
      </c>
      <c r="J195" s="3">
        <v>500000</v>
      </c>
      <c r="L195" s="3">
        <v>1600000</v>
      </c>
      <c r="N195" s="3">
        <v>3200000</v>
      </c>
    </row>
    <row r="196" spans="4:14" x14ac:dyDescent="0.3">
      <c r="D196" s="3">
        <v>300000</v>
      </c>
      <c r="F196" s="3">
        <v>300000</v>
      </c>
      <c r="H196" s="3">
        <v>500000</v>
      </c>
      <c r="J196" s="3">
        <v>500000</v>
      </c>
      <c r="L196" s="3">
        <v>1600000</v>
      </c>
      <c r="N196" s="3">
        <v>3200000</v>
      </c>
    </row>
    <row r="197" spans="4:14" x14ac:dyDescent="0.3">
      <c r="D197" s="3">
        <v>300000</v>
      </c>
      <c r="F197" s="3">
        <v>300000</v>
      </c>
      <c r="H197" s="3">
        <v>500000</v>
      </c>
      <c r="J197" s="3">
        <v>500000</v>
      </c>
      <c r="L197" s="3">
        <v>1600000</v>
      </c>
      <c r="N197" s="3">
        <v>3200000</v>
      </c>
    </row>
    <row r="198" spans="4:14" x14ac:dyDescent="0.3">
      <c r="D198" s="3">
        <v>300000</v>
      </c>
      <c r="F198" s="3">
        <v>300000</v>
      </c>
      <c r="H198" s="3">
        <v>500000</v>
      </c>
      <c r="J198" s="3">
        <v>500000</v>
      </c>
      <c r="L198" s="3">
        <v>1600000</v>
      </c>
      <c r="N198" s="3">
        <v>3200000</v>
      </c>
    </row>
    <row r="199" spans="4:14" x14ac:dyDescent="0.3">
      <c r="D199" s="3">
        <v>300000</v>
      </c>
      <c r="F199" s="3">
        <v>300000</v>
      </c>
      <c r="H199" s="3">
        <v>500000</v>
      </c>
      <c r="J199" s="3">
        <v>500000</v>
      </c>
      <c r="L199" s="3">
        <v>1600000</v>
      </c>
      <c r="N199" s="3">
        <v>3200000</v>
      </c>
    </row>
    <row r="200" spans="4:14" x14ac:dyDescent="0.3">
      <c r="D200" s="3">
        <v>300000</v>
      </c>
      <c r="F200" s="3">
        <v>300000</v>
      </c>
      <c r="H200" s="3">
        <v>500000</v>
      </c>
      <c r="J200" s="3">
        <v>500000</v>
      </c>
      <c r="L200" s="3">
        <v>1600000</v>
      </c>
      <c r="N200" s="3">
        <v>3200000</v>
      </c>
    </row>
    <row r="201" spans="4:14" x14ac:dyDescent="0.3">
      <c r="D201" s="3">
        <v>300000</v>
      </c>
      <c r="F201" s="3">
        <v>300000</v>
      </c>
      <c r="H201" s="3">
        <v>500000</v>
      </c>
      <c r="J201" s="3">
        <v>500000</v>
      </c>
      <c r="L201" s="3">
        <v>1600000</v>
      </c>
      <c r="N201" s="3">
        <v>3200000</v>
      </c>
    </row>
    <row r="202" spans="4:14" x14ac:dyDescent="0.3">
      <c r="D202" s="3">
        <v>300000</v>
      </c>
      <c r="F202" s="3">
        <v>300000</v>
      </c>
      <c r="H202" s="3">
        <v>500000</v>
      </c>
      <c r="J202" s="3">
        <v>500000</v>
      </c>
      <c r="L202" s="3">
        <v>1600000</v>
      </c>
      <c r="N202" s="3">
        <v>3200000</v>
      </c>
    </row>
    <row r="203" spans="4:14" x14ac:dyDescent="0.3">
      <c r="D203" s="3">
        <v>300000</v>
      </c>
      <c r="F203" s="3">
        <v>300000</v>
      </c>
      <c r="H203" s="3">
        <v>500000</v>
      </c>
      <c r="J203" s="3">
        <v>500000</v>
      </c>
      <c r="L203" s="3">
        <v>1600000</v>
      </c>
      <c r="N203" s="3">
        <v>3200000</v>
      </c>
    </row>
    <row r="204" spans="4:14" x14ac:dyDescent="0.3">
      <c r="D204" s="3">
        <v>300000</v>
      </c>
      <c r="F204" s="3">
        <v>300000</v>
      </c>
      <c r="H204" s="3">
        <v>500000</v>
      </c>
      <c r="J204" s="3">
        <v>500000</v>
      </c>
      <c r="L204" s="3">
        <v>1600000</v>
      </c>
      <c r="N204" s="3">
        <v>3200000</v>
      </c>
    </row>
    <row r="205" spans="4:14" x14ac:dyDescent="0.3">
      <c r="D205" s="3">
        <v>300000</v>
      </c>
      <c r="F205" s="3">
        <v>300000</v>
      </c>
      <c r="H205" s="3">
        <v>500000</v>
      </c>
      <c r="J205" s="3">
        <v>500000</v>
      </c>
      <c r="L205" s="3">
        <v>1600000</v>
      </c>
      <c r="N205" s="3">
        <v>3200000</v>
      </c>
    </row>
    <row r="206" spans="4:14" x14ac:dyDescent="0.3">
      <c r="D206" s="3">
        <v>300000</v>
      </c>
      <c r="F206" s="3">
        <v>300000</v>
      </c>
      <c r="H206" s="3">
        <v>500000</v>
      </c>
      <c r="J206" s="3">
        <v>500000</v>
      </c>
      <c r="L206" s="3">
        <v>1600000</v>
      </c>
      <c r="N206" s="3">
        <v>3200000</v>
      </c>
    </row>
    <row r="207" spans="4:14" x14ac:dyDescent="0.3">
      <c r="D207" s="3">
        <v>300000</v>
      </c>
      <c r="F207" s="3">
        <v>300000</v>
      </c>
      <c r="H207" s="3">
        <v>500000</v>
      </c>
      <c r="J207" s="3">
        <v>500000</v>
      </c>
      <c r="L207" s="3">
        <v>1600000</v>
      </c>
      <c r="N207" s="3">
        <v>3200000</v>
      </c>
    </row>
    <row r="208" spans="4:14" x14ac:dyDescent="0.3">
      <c r="D208" s="3">
        <v>300000</v>
      </c>
      <c r="F208" s="3">
        <v>300000</v>
      </c>
      <c r="H208" s="3">
        <v>500000</v>
      </c>
      <c r="J208" s="3">
        <v>500000</v>
      </c>
      <c r="L208" s="3">
        <v>1600000</v>
      </c>
      <c r="N208" s="3">
        <v>3200000</v>
      </c>
    </row>
    <row r="209" spans="4:14" x14ac:dyDescent="0.3">
      <c r="D209" s="3">
        <v>300000</v>
      </c>
      <c r="F209" s="3">
        <v>300000</v>
      </c>
      <c r="H209" s="3">
        <v>500000</v>
      </c>
      <c r="J209" s="3">
        <v>500000</v>
      </c>
      <c r="L209" s="3">
        <v>1600000</v>
      </c>
      <c r="N209" s="3">
        <v>3200000</v>
      </c>
    </row>
    <row r="210" spans="4:14" x14ac:dyDescent="0.3">
      <c r="D210" s="3">
        <v>300000</v>
      </c>
      <c r="F210" s="3">
        <v>300000</v>
      </c>
      <c r="H210" s="3">
        <v>500000</v>
      </c>
      <c r="J210" s="3">
        <v>500000</v>
      </c>
      <c r="L210" s="3">
        <v>1600000</v>
      </c>
      <c r="N210" s="3">
        <v>3200000</v>
      </c>
    </row>
    <row r="211" spans="4:14" x14ac:dyDescent="0.3">
      <c r="D211" s="3">
        <v>300000</v>
      </c>
      <c r="F211" s="3">
        <v>300000</v>
      </c>
      <c r="H211" s="3">
        <v>500000</v>
      </c>
      <c r="J211" s="3">
        <v>500000</v>
      </c>
      <c r="L211" s="3">
        <v>1600000</v>
      </c>
      <c r="N211" s="3">
        <v>3200000</v>
      </c>
    </row>
    <row r="212" spans="4:14" x14ac:dyDescent="0.3">
      <c r="D212" s="3">
        <v>300000</v>
      </c>
      <c r="F212" s="3">
        <v>300000</v>
      </c>
      <c r="H212" s="3">
        <v>500000</v>
      </c>
      <c r="J212" s="3">
        <v>500000</v>
      </c>
      <c r="L212" s="3">
        <v>1600000</v>
      </c>
      <c r="N212" s="3">
        <v>3200000</v>
      </c>
    </row>
    <row r="213" spans="4:14" x14ac:dyDescent="0.3">
      <c r="D213" s="3">
        <v>300000</v>
      </c>
      <c r="F213" s="3">
        <v>300000</v>
      </c>
      <c r="H213" s="3">
        <v>500000</v>
      </c>
      <c r="J213" s="3">
        <v>500000</v>
      </c>
      <c r="L213" s="3">
        <v>1600000</v>
      </c>
      <c r="N213" s="3">
        <v>3200000</v>
      </c>
    </row>
    <row r="214" spans="4:14" x14ac:dyDescent="0.3">
      <c r="D214" s="3">
        <v>300000</v>
      </c>
      <c r="F214" s="3">
        <v>300000</v>
      </c>
      <c r="H214" s="3">
        <v>500000</v>
      </c>
      <c r="J214" s="3">
        <v>500000</v>
      </c>
      <c r="L214" s="3">
        <v>1600000</v>
      </c>
      <c r="N214" s="3">
        <v>3200000</v>
      </c>
    </row>
    <row r="215" spans="4:14" x14ac:dyDescent="0.3">
      <c r="D215" s="3">
        <v>300000</v>
      </c>
      <c r="F215" s="3">
        <v>300000</v>
      </c>
      <c r="H215" s="3">
        <v>500000</v>
      </c>
      <c r="J215" s="3">
        <v>500000</v>
      </c>
      <c r="L215" s="3">
        <v>1600000</v>
      </c>
      <c r="N215" s="3">
        <v>3200000</v>
      </c>
    </row>
    <row r="216" spans="4:14" x14ac:dyDescent="0.3">
      <c r="D216" s="3">
        <v>300000</v>
      </c>
      <c r="F216" s="3">
        <v>300000</v>
      </c>
      <c r="H216" s="3">
        <v>500000</v>
      </c>
      <c r="J216" s="3">
        <v>500000</v>
      </c>
      <c r="L216" s="3">
        <v>1600000</v>
      </c>
      <c r="N216" s="3">
        <v>3200000</v>
      </c>
    </row>
    <row r="217" spans="4:14" x14ac:dyDescent="0.3">
      <c r="D217" s="3">
        <v>300000</v>
      </c>
      <c r="F217" s="3">
        <v>300000</v>
      </c>
      <c r="H217" s="3">
        <v>500000</v>
      </c>
      <c r="J217" s="3">
        <v>500000</v>
      </c>
      <c r="L217" s="3">
        <v>1600000</v>
      </c>
      <c r="N217" s="3">
        <v>3200000</v>
      </c>
    </row>
    <row r="218" spans="4:14" x14ac:dyDescent="0.3">
      <c r="D218" s="3">
        <v>300000</v>
      </c>
      <c r="F218" s="3">
        <v>300000</v>
      </c>
      <c r="H218" s="3">
        <v>500000</v>
      </c>
      <c r="J218" s="3">
        <v>500000</v>
      </c>
      <c r="L218" s="3">
        <v>1600000</v>
      </c>
      <c r="N218" s="3">
        <v>3200000</v>
      </c>
    </row>
    <row r="219" spans="4:14" x14ac:dyDescent="0.3">
      <c r="D219" s="3">
        <v>300000</v>
      </c>
      <c r="F219" s="3">
        <v>300000</v>
      </c>
      <c r="H219" s="3">
        <v>500000</v>
      </c>
      <c r="J219" s="3">
        <v>500000</v>
      </c>
      <c r="L219" s="3">
        <v>1600000</v>
      </c>
      <c r="N219" s="3">
        <v>3200000</v>
      </c>
    </row>
    <row r="220" spans="4:14" x14ac:dyDescent="0.3">
      <c r="D220" s="3">
        <v>300000</v>
      </c>
      <c r="F220" s="3">
        <v>300000</v>
      </c>
      <c r="H220" s="3">
        <v>500000</v>
      </c>
      <c r="J220" s="3">
        <v>500000</v>
      </c>
      <c r="L220" s="3">
        <v>1600000</v>
      </c>
      <c r="N220" s="3">
        <v>3200000</v>
      </c>
    </row>
    <row r="221" spans="4:14" x14ac:dyDescent="0.3">
      <c r="D221" s="3">
        <v>300000</v>
      </c>
      <c r="F221" s="3">
        <v>300000</v>
      </c>
      <c r="H221" s="3">
        <v>500000</v>
      </c>
      <c r="J221" s="3">
        <v>500000</v>
      </c>
      <c r="L221" s="3">
        <v>1600000</v>
      </c>
      <c r="N221" s="3">
        <v>3200000</v>
      </c>
    </row>
    <row r="222" spans="4:14" x14ac:dyDescent="0.3">
      <c r="D222" s="3">
        <v>300000</v>
      </c>
      <c r="F222" s="3">
        <v>300000</v>
      </c>
      <c r="H222" s="3">
        <v>500000</v>
      </c>
      <c r="J222" s="3">
        <v>500000</v>
      </c>
      <c r="L222" s="3">
        <v>1600000</v>
      </c>
      <c r="N222" s="3">
        <v>3200000</v>
      </c>
    </row>
    <row r="223" spans="4:14" x14ac:dyDescent="0.3">
      <c r="D223" s="3">
        <v>300000</v>
      </c>
      <c r="F223" s="3">
        <v>300000</v>
      </c>
      <c r="H223" s="3">
        <v>500000</v>
      </c>
      <c r="J223" s="3">
        <v>500000</v>
      </c>
      <c r="L223" s="3">
        <v>1600000</v>
      </c>
      <c r="N223" s="3">
        <v>3200000</v>
      </c>
    </row>
    <row r="224" spans="4:14" x14ac:dyDescent="0.3">
      <c r="D224" s="3">
        <v>300000</v>
      </c>
      <c r="F224" s="3">
        <v>300000</v>
      </c>
      <c r="H224" s="3">
        <v>500000</v>
      </c>
      <c r="J224" s="3">
        <v>500000</v>
      </c>
      <c r="L224" s="3">
        <v>1600000</v>
      </c>
      <c r="N224" s="3">
        <v>3200000</v>
      </c>
    </row>
    <row r="225" spans="4:14" x14ac:dyDescent="0.3">
      <c r="D225" s="3">
        <v>300000</v>
      </c>
      <c r="F225" s="3">
        <v>300000</v>
      </c>
      <c r="H225" s="3">
        <v>500000</v>
      </c>
      <c r="J225" s="3">
        <v>500000</v>
      </c>
      <c r="L225" s="3">
        <v>1600000</v>
      </c>
      <c r="N225" s="3">
        <v>3200000</v>
      </c>
    </row>
    <row r="226" spans="4:14" x14ac:dyDescent="0.3">
      <c r="D226" s="3">
        <v>300000</v>
      </c>
      <c r="F226" s="3">
        <v>300000</v>
      </c>
      <c r="H226" s="3">
        <v>500000</v>
      </c>
      <c r="J226" s="3">
        <v>500000</v>
      </c>
      <c r="L226" s="3">
        <v>1600000</v>
      </c>
      <c r="N226" s="3">
        <v>3200000</v>
      </c>
    </row>
    <row r="227" spans="4:14" x14ac:dyDescent="0.3">
      <c r="D227" s="3">
        <v>300000</v>
      </c>
      <c r="F227" s="3">
        <v>300000</v>
      </c>
      <c r="H227" s="3">
        <v>500000</v>
      </c>
      <c r="J227" s="3">
        <v>500000</v>
      </c>
      <c r="L227" s="3">
        <v>1600000</v>
      </c>
      <c r="N227" s="3">
        <v>3200000</v>
      </c>
    </row>
    <row r="228" spans="4:14" x14ac:dyDescent="0.3">
      <c r="D228" s="3">
        <v>300000</v>
      </c>
      <c r="F228" s="3">
        <v>300000</v>
      </c>
      <c r="H228" s="3">
        <v>500000</v>
      </c>
      <c r="J228" s="3">
        <v>500000</v>
      </c>
      <c r="L228" s="3">
        <v>1600000</v>
      </c>
      <c r="N228" s="3">
        <v>3200000</v>
      </c>
    </row>
    <row r="229" spans="4:14" x14ac:dyDescent="0.3">
      <c r="D229" s="3">
        <v>300000</v>
      </c>
      <c r="F229" s="3">
        <v>300000</v>
      </c>
      <c r="H229" s="3">
        <v>500000</v>
      </c>
      <c r="J229" s="3">
        <v>500000</v>
      </c>
      <c r="L229" s="3">
        <v>1600000</v>
      </c>
      <c r="N229" s="3">
        <v>3200000</v>
      </c>
    </row>
    <row r="230" spans="4:14" x14ac:dyDescent="0.3">
      <c r="D230" s="3">
        <v>300000</v>
      </c>
      <c r="F230" s="3">
        <v>300000</v>
      </c>
      <c r="H230" s="3">
        <v>500000</v>
      </c>
      <c r="J230" s="3">
        <v>500000</v>
      </c>
      <c r="L230" s="3">
        <v>1600000</v>
      </c>
      <c r="N230" s="3">
        <v>3200000</v>
      </c>
    </row>
    <row r="231" spans="4:14" x14ac:dyDescent="0.3">
      <c r="D231" s="3">
        <v>300000</v>
      </c>
      <c r="F231" s="3">
        <v>300000</v>
      </c>
      <c r="H231" s="3">
        <v>500000</v>
      </c>
      <c r="J231" s="3">
        <v>500000</v>
      </c>
      <c r="L231" s="3">
        <v>1600000</v>
      </c>
      <c r="N231" s="3">
        <v>3200000</v>
      </c>
    </row>
    <row r="232" spans="4:14" x14ac:dyDescent="0.3">
      <c r="D232" s="3">
        <v>300000</v>
      </c>
      <c r="F232" s="3">
        <v>300000</v>
      </c>
      <c r="H232" s="3">
        <v>500000</v>
      </c>
      <c r="J232" s="3">
        <v>500000</v>
      </c>
      <c r="L232" s="3">
        <v>1600000</v>
      </c>
      <c r="N232" s="3">
        <v>3200000</v>
      </c>
    </row>
    <row r="233" spans="4:14" x14ac:dyDescent="0.3">
      <c r="D233" s="3">
        <v>300000</v>
      </c>
      <c r="F233" s="3">
        <v>300000</v>
      </c>
      <c r="H233" s="3">
        <v>500000</v>
      </c>
      <c r="J233" s="3">
        <v>500000</v>
      </c>
      <c r="L233" s="3">
        <v>1600000</v>
      </c>
      <c r="N233" s="3">
        <v>3200000</v>
      </c>
    </row>
    <row r="234" spans="4:14" x14ac:dyDescent="0.3">
      <c r="D234" s="3">
        <v>300000</v>
      </c>
      <c r="F234" s="3">
        <v>300000</v>
      </c>
      <c r="H234" s="3">
        <v>500000</v>
      </c>
      <c r="J234" s="3">
        <v>500000</v>
      </c>
      <c r="L234" s="3">
        <v>1600000</v>
      </c>
      <c r="N234" s="3">
        <v>3200000</v>
      </c>
    </row>
    <row r="235" spans="4:14" x14ac:dyDescent="0.3">
      <c r="D235" s="3">
        <v>300000</v>
      </c>
      <c r="F235" s="3">
        <v>300000</v>
      </c>
      <c r="H235" s="3">
        <v>500000</v>
      </c>
      <c r="J235" s="3">
        <v>500000</v>
      </c>
      <c r="L235" s="3">
        <v>1600000</v>
      </c>
      <c r="N235" s="3">
        <v>3200000</v>
      </c>
    </row>
    <row r="236" spans="4:14" x14ac:dyDescent="0.3">
      <c r="D236" s="3">
        <v>300000</v>
      </c>
      <c r="F236" s="3">
        <v>300000</v>
      </c>
      <c r="H236" s="3">
        <v>500000</v>
      </c>
      <c r="J236" s="3">
        <v>500000</v>
      </c>
      <c r="L236" s="3">
        <v>1600000</v>
      </c>
      <c r="N236" s="3">
        <v>3200000</v>
      </c>
    </row>
    <row r="237" spans="4:14" x14ac:dyDescent="0.3">
      <c r="D237" s="3">
        <v>300000</v>
      </c>
      <c r="F237" s="3">
        <v>300000</v>
      </c>
      <c r="H237" s="3">
        <v>500000</v>
      </c>
      <c r="J237" s="3">
        <v>500000</v>
      </c>
      <c r="L237" s="3">
        <v>1600000</v>
      </c>
      <c r="N237" s="3">
        <v>3200000</v>
      </c>
    </row>
    <row r="238" spans="4:14" x14ac:dyDescent="0.3">
      <c r="D238" s="3">
        <v>300000</v>
      </c>
      <c r="F238" s="3">
        <v>300000</v>
      </c>
      <c r="H238" s="3">
        <v>500000</v>
      </c>
      <c r="J238" s="3">
        <v>500000</v>
      </c>
      <c r="L238" s="3">
        <v>1600000</v>
      </c>
      <c r="N238" s="3">
        <v>3200000</v>
      </c>
    </row>
    <row r="239" spans="4:14" x14ac:dyDescent="0.3">
      <c r="D239" s="3">
        <v>300000</v>
      </c>
      <c r="F239" s="3">
        <v>300000</v>
      </c>
      <c r="H239" s="3">
        <v>500000</v>
      </c>
      <c r="J239" s="3">
        <v>500000</v>
      </c>
      <c r="L239" s="3">
        <v>1600000</v>
      </c>
      <c r="N239" s="3">
        <v>3200000</v>
      </c>
    </row>
    <row r="240" spans="4:14" x14ac:dyDescent="0.3">
      <c r="D240" s="3">
        <v>300000</v>
      </c>
      <c r="F240" s="3">
        <v>300000</v>
      </c>
      <c r="H240" s="3">
        <v>500000</v>
      </c>
      <c r="J240" s="3">
        <v>500000</v>
      </c>
      <c r="L240" s="3">
        <v>1600000</v>
      </c>
      <c r="N240" s="3">
        <v>3200000</v>
      </c>
    </row>
    <row r="241" spans="4:14" x14ac:dyDescent="0.3">
      <c r="D241" s="3">
        <v>300000</v>
      </c>
      <c r="F241" s="3">
        <v>300000</v>
      </c>
      <c r="H241" s="3">
        <v>500000</v>
      </c>
      <c r="J241" s="3">
        <v>500000</v>
      </c>
      <c r="L241" s="3">
        <v>1600000</v>
      </c>
      <c r="N241" s="3">
        <v>3200000</v>
      </c>
    </row>
    <row r="242" spans="4:14" x14ac:dyDescent="0.3">
      <c r="D242" s="3">
        <v>300000</v>
      </c>
      <c r="F242" s="3">
        <v>300000</v>
      </c>
      <c r="H242" s="3">
        <v>500000</v>
      </c>
      <c r="J242" s="3">
        <v>500000</v>
      </c>
      <c r="L242" s="3">
        <v>1600000</v>
      </c>
      <c r="N242" s="3">
        <v>3200000</v>
      </c>
    </row>
    <row r="243" spans="4:14" x14ac:dyDescent="0.3">
      <c r="D243" s="3">
        <v>300000</v>
      </c>
      <c r="F243" s="3">
        <v>300000</v>
      </c>
      <c r="H243" s="3">
        <v>500000</v>
      </c>
      <c r="J243" s="3">
        <v>500000</v>
      </c>
      <c r="L243" s="3">
        <v>1600000</v>
      </c>
      <c r="N243" s="3">
        <v>3200000</v>
      </c>
    </row>
    <row r="244" spans="4:14" x14ac:dyDescent="0.3">
      <c r="D244" s="3">
        <v>300000</v>
      </c>
      <c r="F244" s="3">
        <v>300000</v>
      </c>
      <c r="H244" s="3">
        <v>500000</v>
      </c>
      <c r="J244" s="3">
        <v>500000</v>
      </c>
      <c r="L244" s="3">
        <v>1600000</v>
      </c>
      <c r="N244" s="3">
        <v>3200000</v>
      </c>
    </row>
    <row r="245" spans="4:14" x14ac:dyDescent="0.3">
      <c r="D245" s="3">
        <v>300000</v>
      </c>
      <c r="F245" s="3">
        <v>300000</v>
      </c>
      <c r="H245" s="3">
        <v>500000</v>
      </c>
      <c r="J245" s="3">
        <v>500000</v>
      </c>
      <c r="L245" s="3">
        <v>1600000</v>
      </c>
      <c r="N245" s="3">
        <v>3200000</v>
      </c>
    </row>
    <row r="246" spans="4:14" x14ac:dyDescent="0.3">
      <c r="D246" s="3">
        <v>300000</v>
      </c>
      <c r="F246" s="3">
        <v>300000</v>
      </c>
      <c r="H246" s="3">
        <v>500000</v>
      </c>
      <c r="J246" s="3">
        <v>500000</v>
      </c>
      <c r="L246" s="3">
        <v>1600000</v>
      </c>
      <c r="N246" s="3">
        <v>3200000</v>
      </c>
    </row>
    <row r="247" spans="4:14" x14ac:dyDescent="0.3">
      <c r="D247" s="3">
        <v>300000</v>
      </c>
      <c r="F247" s="3">
        <v>300000</v>
      </c>
      <c r="H247" s="3">
        <v>500000</v>
      </c>
      <c r="J247" s="3">
        <v>500000</v>
      </c>
      <c r="L247" s="3">
        <v>1600000</v>
      </c>
      <c r="N247" s="3">
        <v>3200000</v>
      </c>
    </row>
    <row r="248" spans="4:14" x14ac:dyDescent="0.3">
      <c r="D248" s="3">
        <v>300000</v>
      </c>
      <c r="F248" s="3">
        <v>300000</v>
      </c>
      <c r="H248" s="3">
        <v>500000</v>
      </c>
      <c r="J248" s="3">
        <v>500000</v>
      </c>
      <c r="L248" s="3">
        <v>1600000</v>
      </c>
      <c r="N248" s="3">
        <v>3200000</v>
      </c>
    </row>
    <row r="249" spans="4:14" x14ac:dyDescent="0.3">
      <c r="D249" s="3">
        <v>300000</v>
      </c>
      <c r="F249" s="3">
        <v>300000</v>
      </c>
      <c r="H249" s="3">
        <v>500000</v>
      </c>
      <c r="J249" s="3">
        <v>500000</v>
      </c>
      <c r="L249" s="3">
        <v>1600000</v>
      </c>
      <c r="N249" s="3">
        <v>3200000</v>
      </c>
    </row>
    <row r="250" spans="4:14" x14ac:dyDescent="0.3">
      <c r="D250" s="3">
        <v>300000</v>
      </c>
      <c r="F250" s="3">
        <v>300000</v>
      </c>
      <c r="H250" s="3">
        <v>500000</v>
      </c>
      <c r="J250" s="3">
        <v>500000</v>
      </c>
      <c r="L250" s="3">
        <v>1600000</v>
      </c>
      <c r="N250" s="3">
        <v>3200000</v>
      </c>
    </row>
    <row r="251" spans="4:14" x14ac:dyDescent="0.3">
      <c r="D251" s="3">
        <v>300000</v>
      </c>
      <c r="F251" s="3">
        <v>300000</v>
      </c>
      <c r="H251" s="3">
        <v>500000</v>
      </c>
      <c r="J251" s="3">
        <v>500000</v>
      </c>
      <c r="L251" s="3">
        <v>1600000</v>
      </c>
      <c r="N251" s="3">
        <v>3200000</v>
      </c>
    </row>
    <row r="252" spans="4:14" x14ac:dyDescent="0.3">
      <c r="D252" s="3">
        <v>300000</v>
      </c>
      <c r="F252" s="3">
        <v>300000</v>
      </c>
      <c r="H252" s="3">
        <v>500000</v>
      </c>
      <c r="J252" s="3">
        <v>500000</v>
      </c>
      <c r="L252" s="3">
        <v>1600000</v>
      </c>
      <c r="N252" s="3">
        <v>3200000</v>
      </c>
    </row>
    <row r="253" spans="4:14" x14ac:dyDescent="0.3">
      <c r="D253" s="3">
        <v>300000</v>
      </c>
      <c r="F253" s="3">
        <v>300000</v>
      </c>
      <c r="H253" s="3">
        <v>500000</v>
      </c>
      <c r="J253" s="3">
        <v>500000</v>
      </c>
      <c r="L253" s="3">
        <v>1600000</v>
      </c>
      <c r="N253" s="3">
        <v>3200000</v>
      </c>
    </row>
    <row r="254" spans="4:14" x14ac:dyDescent="0.3">
      <c r="D254" s="3">
        <v>300000</v>
      </c>
      <c r="F254" s="3">
        <v>300000</v>
      </c>
      <c r="H254" s="3">
        <v>500000</v>
      </c>
      <c r="J254" s="3">
        <v>500000</v>
      </c>
      <c r="L254" s="3">
        <v>1600000</v>
      </c>
      <c r="N254" s="3">
        <v>3200000</v>
      </c>
    </row>
    <row r="255" spans="4:14" x14ac:dyDescent="0.3">
      <c r="D255" s="3">
        <v>300000</v>
      </c>
      <c r="F255" s="3">
        <v>300000</v>
      </c>
      <c r="H255" s="3">
        <v>500000</v>
      </c>
      <c r="J255" s="3">
        <v>500000</v>
      </c>
      <c r="L255" s="3">
        <v>1600000</v>
      </c>
      <c r="N255" s="3">
        <v>3200000</v>
      </c>
    </row>
    <row r="256" spans="4:14" x14ac:dyDescent="0.3">
      <c r="D256" s="3">
        <v>300000</v>
      </c>
      <c r="F256" s="3">
        <v>300000</v>
      </c>
      <c r="H256" s="3">
        <v>500000</v>
      </c>
      <c r="J256" s="3">
        <v>500000</v>
      </c>
      <c r="L256" s="3">
        <v>1600000</v>
      </c>
      <c r="N256" s="3">
        <v>3200000</v>
      </c>
    </row>
    <row r="257" spans="4:14" x14ac:dyDescent="0.3">
      <c r="D257" s="3">
        <v>300000</v>
      </c>
      <c r="F257" s="3">
        <v>300000</v>
      </c>
      <c r="H257" s="3">
        <v>500000</v>
      </c>
      <c r="J257" s="3">
        <v>500000</v>
      </c>
      <c r="L257" s="3">
        <v>1600000</v>
      </c>
      <c r="N257" s="3">
        <v>3200000</v>
      </c>
    </row>
    <row r="258" spans="4:14" x14ac:dyDescent="0.3">
      <c r="D258" s="3">
        <v>300000</v>
      </c>
      <c r="F258" s="3">
        <v>300000</v>
      </c>
      <c r="H258" s="3">
        <v>500000</v>
      </c>
      <c r="J258" s="3">
        <v>500000</v>
      </c>
      <c r="L258" s="3">
        <v>1600000</v>
      </c>
      <c r="N258" s="3">
        <v>3200000</v>
      </c>
    </row>
    <row r="259" spans="4:14" x14ac:dyDescent="0.3">
      <c r="D259" s="3">
        <v>300000</v>
      </c>
      <c r="F259" s="3">
        <v>300000</v>
      </c>
      <c r="H259" s="3">
        <v>500000</v>
      </c>
      <c r="J259" s="3">
        <v>500000</v>
      </c>
      <c r="L259" s="3">
        <v>1600000</v>
      </c>
      <c r="N259" s="3">
        <v>3200000</v>
      </c>
    </row>
    <row r="260" spans="4:14" x14ac:dyDescent="0.3">
      <c r="D260" s="3">
        <v>300000</v>
      </c>
      <c r="F260" s="3">
        <v>300000</v>
      </c>
      <c r="H260" s="3">
        <v>500000</v>
      </c>
      <c r="J260" s="3">
        <v>500000</v>
      </c>
      <c r="L260" s="3">
        <v>1600000</v>
      </c>
      <c r="N260" s="3">
        <v>3200000</v>
      </c>
    </row>
    <row r="261" spans="4:14" x14ac:dyDescent="0.3">
      <c r="D261" s="3">
        <v>300000</v>
      </c>
      <c r="F261" s="3">
        <v>300000</v>
      </c>
      <c r="H261" s="3">
        <v>500000</v>
      </c>
      <c r="J261" s="3">
        <v>500000</v>
      </c>
      <c r="L261" s="3">
        <v>1600000</v>
      </c>
      <c r="N261" s="3">
        <v>3200000</v>
      </c>
    </row>
    <row r="262" spans="4:14" x14ac:dyDescent="0.3">
      <c r="D262" s="3">
        <v>300000</v>
      </c>
      <c r="F262" s="3">
        <v>300000</v>
      </c>
      <c r="H262" s="3">
        <v>500000</v>
      </c>
      <c r="J262" s="3">
        <v>500000</v>
      </c>
      <c r="L262" s="3">
        <v>1600000</v>
      </c>
      <c r="N262" s="3">
        <v>3200000</v>
      </c>
    </row>
    <row r="263" spans="4:14" x14ac:dyDescent="0.3">
      <c r="D263" s="3">
        <v>300000</v>
      </c>
      <c r="F263" s="3">
        <v>300000</v>
      </c>
      <c r="H263" s="3">
        <v>500000</v>
      </c>
      <c r="J263" s="3">
        <v>500000</v>
      </c>
      <c r="L263" s="3">
        <v>1600000</v>
      </c>
      <c r="N263" s="3">
        <v>3200000</v>
      </c>
    </row>
    <row r="264" spans="4:14" x14ac:dyDescent="0.3">
      <c r="D264" s="3">
        <v>300000</v>
      </c>
      <c r="F264" s="3">
        <v>300000</v>
      </c>
      <c r="H264" s="3">
        <v>500000</v>
      </c>
      <c r="J264" s="3">
        <v>500000</v>
      </c>
      <c r="L264" s="3">
        <v>1600000</v>
      </c>
      <c r="N264" s="3">
        <v>3200000</v>
      </c>
    </row>
    <row r="265" spans="4:14" x14ac:dyDescent="0.3">
      <c r="D265" s="3">
        <v>300000</v>
      </c>
      <c r="F265" s="3">
        <v>300000</v>
      </c>
      <c r="H265" s="3">
        <v>500000</v>
      </c>
      <c r="J265" s="3">
        <v>500000</v>
      </c>
      <c r="L265" s="3">
        <v>1600000</v>
      </c>
      <c r="N265" s="3">
        <v>3200000</v>
      </c>
    </row>
    <row r="266" spans="4:14" x14ac:dyDescent="0.3">
      <c r="D266" s="3">
        <v>300000</v>
      </c>
      <c r="F266" s="3">
        <v>300000</v>
      </c>
      <c r="H266" s="3">
        <v>500000</v>
      </c>
      <c r="J266" s="3">
        <v>500000</v>
      </c>
      <c r="L266" s="3">
        <v>1600000</v>
      </c>
      <c r="N266" s="3">
        <v>3200000</v>
      </c>
    </row>
    <row r="267" spans="4:14" x14ac:dyDescent="0.3">
      <c r="D267" s="3">
        <v>300000</v>
      </c>
      <c r="F267" s="3">
        <v>300000</v>
      </c>
      <c r="H267" s="3">
        <v>500000</v>
      </c>
      <c r="J267" s="3">
        <v>500000</v>
      </c>
      <c r="L267" s="3">
        <v>1600000</v>
      </c>
      <c r="N267" s="3">
        <v>3200000</v>
      </c>
    </row>
    <row r="268" spans="4:14" x14ac:dyDescent="0.3">
      <c r="D268" s="3">
        <v>300000</v>
      </c>
      <c r="F268" s="3">
        <v>300000</v>
      </c>
      <c r="H268" s="3">
        <v>500000</v>
      </c>
      <c r="J268" s="3">
        <v>500000</v>
      </c>
      <c r="L268" s="3">
        <v>1600000</v>
      </c>
      <c r="N268" s="3">
        <v>3200000</v>
      </c>
    </row>
    <row r="269" spans="4:14" x14ac:dyDescent="0.3">
      <c r="D269" s="3">
        <v>300000</v>
      </c>
      <c r="F269" s="3">
        <v>300000</v>
      </c>
      <c r="H269" s="3">
        <v>500000</v>
      </c>
      <c r="J269" s="3">
        <v>500000</v>
      </c>
      <c r="L269" s="3">
        <v>1600000</v>
      </c>
      <c r="N269" s="3">
        <v>3200000</v>
      </c>
    </row>
    <row r="270" spans="4:14" x14ac:dyDescent="0.3">
      <c r="D270" s="3">
        <v>300000</v>
      </c>
      <c r="F270" s="3">
        <v>300000</v>
      </c>
      <c r="H270" s="3">
        <v>500000</v>
      </c>
      <c r="J270" s="3">
        <v>500000</v>
      </c>
      <c r="L270" s="3">
        <v>1600000</v>
      </c>
      <c r="N270" s="3">
        <v>3200000</v>
      </c>
    </row>
    <row r="271" spans="4:14" x14ac:dyDescent="0.3">
      <c r="D271" s="3">
        <v>300000</v>
      </c>
      <c r="F271" s="3">
        <v>300000</v>
      </c>
      <c r="H271" s="3">
        <v>500000</v>
      </c>
      <c r="J271" s="3">
        <v>500000</v>
      </c>
      <c r="L271" s="3">
        <v>1600000</v>
      </c>
      <c r="N271" s="3">
        <v>3200000</v>
      </c>
    </row>
    <row r="272" spans="4:14" x14ac:dyDescent="0.3">
      <c r="D272" s="3">
        <v>300000</v>
      </c>
      <c r="F272" s="3">
        <v>300000</v>
      </c>
      <c r="H272" s="3">
        <v>500000</v>
      </c>
      <c r="J272" s="3">
        <v>500000</v>
      </c>
      <c r="L272" s="3">
        <v>1600000</v>
      </c>
      <c r="N272" s="3">
        <v>3200000</v>
      </c>
    </row>
    <row r="273" spans="4:14" x14ac:dyDescent="0.3">
      <c r="D273" s="3">
        <v>300000</v>
      </c>
      <c r="F273" s="3">
        <v>300000</v>
      </c>
      <c r="H273" s="3">
        <v>500000</v>
      </c>
      <c r="J273" s="3">
        <v>500000</v>
      </c>
      <c r="L273" s="3">
        <v>1600000</v>
      </c>
      <c r="N273" s="3">
        <v>3200000</v>
      </c>
    </row>
    <row r="274" spans="4:14" x14ac:dyDescent="0.3">
      <c r="D274" s="3">
        <v>300000</v>
      </c>
      <c r="F274" s="3">
        <v>300000</v>
      </c>
      <c r="H274" s="3">
        <v>500000</v>
      </c>
      <c r="J274" s="3">
        <v>500000</v>
      </c>
      <c r="L274" s="3">
        <v>1600000</v>
      </c>
      <c r="N274" s="3">
        <v>3200000</v>
      </c>
    </row>
    <row r="275" spans="4:14" x14ac:dyDescent="0.3">
      <c r="D275" s="3">
        <v>300000</v>
      </c>
      <c r="F275" s="3">
        <v>300000</v>
      </c>
      <c r="H275" s="3">
        <v>500000</v>
      </c>
      <c r="J275" s="3">
        <v>500000</v>
      </c>
      <c r="L275" s="3">
        <v>1600000</v>
      </c>
      <c r="N275" s="3">
        <v>3200000</v>
      </c>
    </row>
    <row r="276" spans="4:14" x14ac:dyDescent="0.3">
      <c r="D276" s="3">
        <v>300000</v>
      </c>
      <c r="F276" s="3">
        <v>300000</v>
      </c>
      <c r="H276" s="3">
        <v>500000</v>
      </c>
      <c r="J276" s="3">
        <v>500000</v>
      </c>
      <c r="L276" s="3">
        <v>1600000</v>
      </c>
      <c r="N276" s="3">
        <v>3200000</v>
      </c>
    </row>
    <row r="277" spans="4:14" x14ac:dyDescent="0.3">
      <c r="D277" s="3">
        <v>300000</v>
      </c>
      <c r="F277" s="3">
        <v>300000</v>
      </c>
      <c r="H277" s="3">
        <v>500000</v>
      </c>
      <c r="J277" s="3">
        <v>500000</v>
      </c>
      <c r="L277" s="3">
        <v>1600000</v>
      </c>
      <c r="N277" s="3">
        <v>3200000</v>
      </c>
    </row>
    <row r="278" spans="4:14" x14ac:dyDescent="0.3">
      <c r="D278" s="3">
        <v>300000</v>
      </c>
      <c r="F278" s="3">
        <v>300000</v>
      </c>
      <c r="H278" s="3">
        <v>500000</v>
      </c>
      <c r="J278" s="3">
        <v>500000</v>
      </c>
      <c r="L278" s="3">
        <v>1600000</v>
      </c>
      <c r="N278" s="3">
        <v>3200000</v>
      </c>
    </row>
    <row r="279" spans="4:14" x14ac:dyDescent="0.3">
      <c r="D279" s="3">
        <v>300000</v>
      </c>
      <c r="F279" s="3">
        <v>300000</v>
      </c>
      <c r="H279" s="3">
        <v>500000</v>
      </c>
      <c r="J279" s="3">
        <v>500000</v>
      </c>
      <c r="L279" s="3">
        <v>1600000</v>
      </c>
      <c r="N279" s="3">
        <v>3200000</v>
      </c>
    </row>
    <row r="280" spans="4:14" x14ac:dyDescent="0.3">
      <c r="D280" s="3">
        <v>300000</v>
      </c>
      <c r="F280" s="3">
        <v>300000</v>
      </c>
      <c r="H280" s="3">
        <v>500000</v>
      </c>
      <c r="J280" s="3">
        <v>500000</v>
      </c>
      <c r="L280" s="3">
        <v>1600000</v>
      </c>
      <c r="N280" s="3">
        <v>3200000</v>
      </c>
    </row>
    <row r="281" spans="4:14" x14ac:dyDescent="0.3">
      <c r="D281" s="3">
        <v>300000</v>
      </c>
      <c r="F281" s="3">
        <v>300000</v>
      </c>
      <c r="H281" s="3">
        <v>500000</v>
      </c>
      <c r="J281" s="3">
        <v>500000</v>
      </c>
      <c r="L281" s="3">
        <v>1600000</v>
      </c>
      <c r="N281" s="3">
        <v>3200000</v>
      </c>
    </row>
    <row r="282" spans="4:14" x14ac:dyDescent="0.3">
      <c r="D282" s="3">
        <v>300000</v>
      </c>
      <c r="F282" s="3">
        <v>300000</v>
      </c>
      <c r="H282" s="3">
        <v>500000</v>
      </c>
      <c r="J282" s="3">
        <v>500000</v>
      </c>
      <c r="L282" s="3">
        <v>1600000</v>
      </c>
      <c r="N282" s="3">
        <v>3200000</v>
      </c>
    </row>
    <row r="283" spans="4:14" x14ac:dyDescent="0.3">
      <c r="D283" s="3">
        <v>300000</v>
      </c>
      <c r="F283" s="3">
        <v>300000</v>
      </c>
      <c r="H283" s="3">
        <v>500000</v>
      </c>
      <c r="J283" s="3">
        <v>500000</v>
      </c>
      <c r="L283" s="3">
        <v>1600000</v>
      </c>
      <c r="N283" s="3">
        <v>3200000</v>
      </c>
    </row>
    <row r="284" spans="4:14" x14ac:dyDescent="0.3">
      <c r="D284" s="3">
        <v>300000</v>
      </c>
      <c r="F284" s="3">
        <v>300000</v>
      </c>
      <c r="H284" s="3">
        <v>500000</v>
      </c>
      <c r="J284" s="3">
        <v>500000</v>
      </c>
      <c r="L284" s="3">
        <v>1600000</v>
      </c>
      <c r="N284" s="3">
        <v>3200000</v>
      </c>
    </row>
    <row r="285" spans="4:14" x14ac:dyDescent="0.3">
      <c r="D285" s="3">
        <v>300000</v>
      </c>
      <c r="F285" s="3">
        <v>300000</v>
      </c>
      <c r="H285" s="3">
        <v>500000</v>
      </c>
      <c r="J285" s="3">
        <v>500000</v>
      </c>
      <c r="L285" s="3">
        <v>1600000</v>
      </c>
      <c r="N285" s="3">
        <v>3200000</v>
      </c>
    </row>
    <row r="286" spans="4:14" x14ac:dyDescent="0.3">
      <c r="D286" s="3">
        <v>300000</v>
      </c>
      <c r="F286" s="3">
        <v>300000</v>
      </c>
      <c r="H286" s="3">
        <v>500000</v>
      </c>
      <c r="J286" s="3">
        <v>500000</v>
      </c>
      <c r="L286" s="3">
        <v>1600000</v>
      </c>
      <c r="N286" s="3">
        <v>3200000</v>
      </c>
    </row>
    <row r="287" spans="4:14" x14ac:dyDescent="0.3">
      <c r="D287" s="3">
        <v>300000</v>
      </c>
      <c r="F287" s="3">
        <v>300000</v>
      </c>
      <c r="H287" s="3">
        <v>500000</v>
      </c>
      <c r="J287" s="3">
        <v>500000</v>
      </c>
      <c r="L287" s="3">
        <v>1600000</v>
      </c>
      <c r="N287" s="3">
        <v>3200000</v>
      </c>
    </row>
    <row r="288" spans="4:14" x14ac:dyDescent="0.3">
      <c r="D288" s="3">
        <v>300000</v>
      </c>
      <c r="F288" s="3">
        <v>300000</v>
      </c>
      <c r="H288" s="3">
        <v>500000</v>
      </c>
      <c r="J288" s="3">
        <v>500000</v>
      </c>
      <c r="L288" s="3">
        <v>1600000</v>
      </c>
      <c r="N288" s="3">
        <v>3200000</v>
      </c>
    </row>
    <row r="289" spans="4:14" x14ac:dyDescent="0.3">
      <c r="D289" s="3">
        <v>300000</v>
      </c>
      <c r="F289" s="3">
        <v>300000</v>
      </c>
      <c r="H289" s="3">
        <v>500000</v>
      </c>
      <c r="J289" s="3">
        <v>500000</v>
      </c>
      <c r="L289" s="3">
        <v>1600000</v>
      </c>
      <c r="N289" s="3">
        <v>3200000</v>
      </c>
    </row>
    <row r="290" spans="4:14" x14ac:dyDescent="0.3">
      <c r="D290" s="3">
        <v>300000</v>
      </c>
      <c r="F290" s="3">
        <v>300000</v>
      </c>
      <c r="H290" s="3">
        <v>500000</v>
      </c>
      <c r="J290" s="3">
        <v>500000</v>
      </c>
      <c r="L290" s="3">
        <v>1600000</v>
      </c>
      <c r="N290" s="3">
        <v>3200000</v>
      </c>
    </row>
    <row r="291" spans="4:14" x14ac:dyDescent="0.3">
      <c r="D291" s="3">
        <v>300000</v>
      </c>
      <c r="F291" s="3">
        <v>300000</v>
      </c>
      <c r="H291" s="3">
        <v>500000</v>
      </c>
      <c r="J291" s="3">
        <v>500000</v>
      </c>
      <c r="L291" s="3">
        <v>1600000</v>
      </c>
      <c r="N291" s="3">
        <v>3200000</v>
      </c>
    </row>
    <row r="292" spans="4:14" x14ac:dyDescent="0.3">
      <c r="D292" s="3">
        <v>300000</v>
      </c>
      <c r="F292" s="3">
        <v>300000</v>
      </c>
      <c r="H292" s="3">
        <v>500000</v>
      </c>
      <c r="J292" s="3">
        <v>500000</v>
      </c>
      <c r="L292" s="3">
        <v>1600000</v>
      </c>
      <c r="N292" s="3">
        <v>3200000</v>
      </c>
    </row>
    <row r="293" spans="4:14" x14ac:dyDescent="0.3">
      <c r="D293" s="3">
        <v>300000</v>
      </c>
      <c r="F293" s="3">
        <v>300000</v>
      </c>
      <c r="H293" s="3">
        <v>500000</v>
      </c>
      <c r="J293" s="3">
        <v>500000</v>
      </c>
      <c r="L293" s="3">
        <v>1600000</v>
      </c>
      <c r="N293" s="3">
        <v>3200000</v>
      </c>
    </row>
    <row r="294" spans="4:14" x14ac:dyDescent="0.3">
      <c r="D294" s="3">
        <v>300000</v>
      </c>
      <c r="F294" s="3">
        <v>300000</v>
      </c>
      <c r="H294" s="3">
        <v>500000</v>
      </c>
      <c r="J294" s="3">
        <v>500000</v>
      </c>
      <c r="L294" s="3">
        <v>1600000</v>
      </c>
      <c r="N294" s="3">
        <v>3200000</v>
      </c>
    </row>
    <row r="295" spans="4:14" x14ac:dyDescent="0.3">
      <c r="D295" s="3">
        <v>300000</v>
      </c>
      <c r="F295" s="3">
        <v>300000</v>
      </c>
      <c r="H295" s="3">
        <v>500000</v>
      </c>
      <c r="J295" s="3">
        <v>500000</v>
      </c>
      <c r="L295" s="3">
        <v>1600000</v>
      </c>
      <c r="N295" s="3">
        <v>3200000</v>
      </c>
    </row>
    <row r="296" spans="4:14" x14ac:dyDescent="0.3">
      <c r="D296" s="3">
        <v>300000</v>
      </c>
      <c r="F296" s="3">
        <v>300000</v>
      </c>
      <c r="H296" s="3">
        <v>500000</v>
      </c>
      <c r="J296" s="3">
        <v>500000</v>
      </c>
      <c r="L296" s="3">
        <v>1600000</v>
      </c>
      <c r="N296" s="3">
        <v>3200000</v>
      </c>
    </row>
    <row r="297" spans="4:14" x14ac:dyDescent="0.3">
      <c r="D297" s="3">
        <v>300000</v>
      </c>
      <c r="F297" s="3">
        <v>300000</v>
      </c>
      <c r="H297" s="3">
        <v>500000</v>
      </c>
      <c r="J297" s="3">
        <v>500000</v>
      </c>
      <c r="L297" s="3">
        <v>1600000</v>
      </c>
      <c r="N297" s="3">
        <v>3200000</v>
      </c>
    </row>
    <row r="298" spans="4:14" x14ac:dyDescent="0.3">
      <c r="D298" s="3">
        <v>300000</v>
      </c>
      <c r="F298" s="3">
        <v>300000</v>
      </c>
      <c r="H298" s="3">
        <v>500000</v>
      </c>
      <c r="J298" s="3">
        <v>500000</v>
      </c>
      <c r="L298" s="3">
        <v>1600000</v>
      </c>
      <c r="N298" s="3">
        <v>3200000</v>
      </c>
    </row>
    <row r="299" spans="4:14" x14ac:dyDescent="0.3">
      <c r="D299" s="3">
        <v>300000</v>
      </c>
      <c r="F299" s="3">
        <v>300000</v>
      </c>
      <c r="H299" s="3">
        <v>500000</v>
      </c>
      <c r="J299" s="3">
        <v>500000</v>
      </c>
      <c r="L299" s="3">
        <v>1600000</v>
      </c>
      <c r="N299" s="3">
        <v>3200000</v>
      </c>
    </row>
    <row r="300" spans="4:14" x14ac:dyDescent="0.3">
      <c r="D300" s="3">
        <v>300000</v>
      </c>
      <c r="F300" s="3">
        <v>300000</v>
      </c>
      <c r="H300" s="3">
        <v>500000</v>
      </c>
      <c r="J300" s="3">
        <v>500000</v>
      </c>
      <c r="L300" s="3">
        <v>1600000</v>
      </c>
      <c r="N300" s="3">
        <v>3200000</v>
      </c>
    </row>
    <row r="301" spans="4:14" x14ac:dyDescent="0.3">
      <c r="D301" s="3">
        <v>300000</v>
      </c>
      <c r="F301" s="3">
        <v>300000</v>
      </c>
      <c r="H301" s="3">
        <v>500000</v>
      </c>
      <c r="J301" s="3">
        <v>500000</v>
      </c>
      <c r="L301" s="3">
        <v>1600000</v>
      </c>
      <c r="N301" s="3">
        <v>3200000</v>
      </c>
    </row>
    <row r="302" spans="4:14" x14ac:dyDescent="0.3">
      <c r="D302" s="3">
        <v>300000</v>
      </c>
      <c r="F302" s="3">
        <v>300000</v>
      </c>
      <c r="H302" s="3">
        <v>500000</v>
      </c>
      <c r="J302" s="3">
        <v>500000</v>
      </c>
      <c r="L302" s="3">
        <v>1600000</v>
      </c>
      <c r="N302" s="3">
        <v>3200000</v>
      </c>
    </row>
    <row r="303" spans="4:14" x14ac:dyDescent="0.3">
      <c r="D303" s="3">
        <v>300000</v>
      </c>
      <c r="F303" s="3">
        <v>300000</v>
      </c>
      <c r="H303" s="3">
        <v>500000</v>
      </c>
      <c r="J303" s="3">
        <v>500000</v>
      </c>
      <c r="L303" s="3">
        <v>1600000</v>
      </c>
      <c r="N303" s="3">
        <v>3200000</v>
      </c>
    </row>
    <row r="304" spans="4:14" x14ac:dyDescent="0.3">
      <c r="D304" s="3">
        <v>300000</v>
      </c>
      <c r="F304" s="3">
        <v>300000</v>
      </c>
      <c r="H304" s="3">
        <v>500000</v>
      </c>
      <c r="J304" s="3">
        <v>500000</v>
      </c>
      <c r="L304" s="3">
        <v>1600000</v>
      </c>
      <c r="N304" s="3">
        <v>3200000</v>
      </c>
    </row>
    <row r="305" spans="4:14" x14ac:dyDescent="0.3">
      <c r="D305" s="3">
        <v>300000</v>
      </c>
      <c r="F305" s="3">
        <v>300000</v>
      </c>
      <c r="H305" s="3">
        <v>500000</v>
      </c>
      <c r="J305" s="3">
        <v>500000</v>
      </c>
      <c r="L305" s="3">
        <v>1600000</v>
      </c>
      <c r="N305" s="3">
        <v>3200000</v>
      </c>
    </row>
    <row r="306" spans="4:14" x14ac:dyDescent="0.3">
      <c r="D306" s="3">
        <v>300000</v>
      </c>
      <c r="F306" s="3">
        <v>300000</v>
      </c>
      <c r="H306" s="3">
        <v>500000</v>
      </c>
      <c r="J306" s="3">
        <v>500000</v>
      </c>
      <c r="L306" s="3">
        <v>1600000</v>
      </c>
      <c r="N306" s="3">
        <v>3200000</v>
      </c>
    </row>
    <row r="307" spans="4:14" x14ac:dyDescent="0.3">
      <c r="D307" s="3">
        <v>300000</v>
      </c>
      <c r="F307" s="3">
        <v>300000</v>
      </c>
      <c r="H307" s="3">
        <v>500000</v>
      </c>
      <c r="J307" s="3">
        <v>500000</v>
      </c>
      <c r="L307" s="3">
        <v>1600000</v>
      </c>
      <c r="N307" s="3">
        <v>3200000</v>
      </c>
    </row>
    <row r="308" spans="4:14" x14ac:dyDescent="0.3">
      <c r="D308" s="3">
        <v>300000</v>
      </c>
      <c r="F308" s="3">
        <v>300000</v>
      </c>
      <c r="H308" s="3">
        <v>500000</v>
      </c>
      <c r="J308" s="3">
        <v>500000</v>
      </c>
      <c r="L308" s="3">
        <v>1600000</v>
      </c>
      <c r="N308" s="3">
        <v>3200000</v>
      </c>
    </row>
    <row r="309" spans="4:14" x14ac:dyDescent="0.3">
      <c r="D309" s="3">
        <v>300000</v>
      </c>
      <c r="F309" s="3">
        <v>300000</v>
      </c>
      <c r="H309" s="3">
        <v>500000</v>
      </c>
      <c r="J309" s="3">
        <v>500000</v>
      </c>
      <c r="L309" s="3">
        <v>1600000</v>
      </c>
      <c r="N309" s="3">
        <v>3200000</v>
      </c>
    </row>
    <row r="310" spans="4:14" x14ac:dyDescent="0.3">
      <c r="D310" s="3">
        <v>300000</v>
      </c>
      <c r="F310" s="3">
        <v>300000</v>
      </c>
      <c r="H310" s="3">
        <v>500000</v>
      </c>
      <c r="J310" s="3">
        <v>500000</v>
      </c>
      <c r="L310" s="3">
        <v>1600000</v>
      </c>
      <c r="N310" s="3">
        <v>3200000</v>
      </c>
    </row>
    <row r="311" spans="4:14" x14ac:dyDescent="0.3">
      <c r="D311" s="3">
        <v>300000</v>
      </c>
      <c r="F311" s="3">
        <v>300000</v>
      </c>
      <c r="H311" s="3">
        <v>500000</v>
      </c>
      <c r="J311" s="3">
        <v>500000</v>
      </c>
      <c r="L311" s="3">
        <v>1600000</v>
      </c>
      <c r="N311" s="3">
        <v>3200000</v>
      </c>
    </row>
    <row r="312" spans="4:14" x14ac:dyDescent="0.3">
      <c r="D312" s="3">
        <v>300000</v>
      </c>
      <c r="F312" s="3">
        <v>300000</v>
      </c>
      <c r="H312" s="3">
        <v>500000</v>
      </c>
      <c r="J312" s="3">
        <v>500000</v>
      </c>
      <c r="L312" s="3">
        <v>1600000</v>
      </c>
      <c r="N312" s="3">
        <v>3200000</v>
      </c>
    </row>
    <row r="313" spans="4:14" x14ac:dyDescent="0.3">
      <c r="D313" s="3">
        <v>300000</v>
      </c>
      <c r="F313" s="3">
        <v>300000</v>
      </c>
      <c r="H313" s="3">
        <v>500000</v>
      </c>
      <c r="J313" s="3">
        <v>500000</v>
      </c>
      <c r="L313" s="3">
        <v>1600000</v>
      </c>
      <c r="N313" s="3">
        <v>3200000</v>
      </c>
    </row>
    <row r="314" spans="4:14" x14ac:dyDescent="0.3">
      <c r="D314" s="3">
        <v>300000</v>
      </c>
      <c r="F314" s="3">
        <v>300000</v>
      </c>
      <c r="H314" s="3">
        <v>500000</v>
      </c>
      <c r="J314" s="3">
        <v>500000</v>
      </c>
      <c r="L314" s="3">
        <v>1600000</v>
      </c>
      <c r="N314" s="3">
        <v>3200000</v>
      </c>
    </row>
    <row r="315" spans="4:14" x14ac:dyDescent="0.3">
      <c r="D315" s="3">
        <v>300000</v>
      </c>
      <c r="F315" s="3">
        <v>300000</v>
      </c>
      <c r="H315" s="3">
        <v>500000</v>
      </c>
      <c r="J315" s="3">
        <v>500000</v>
      </c>
      <c r="L315" s="3">
        <v>1600000</v>
      </c>
      <c r="N315" s="3">
        <v>3200000</v>
      </c>
    </row>
    <row r="316" spans="4:14" x14ac:dyDescent="0.3">
      <c r="D316" s="3">
        <v>300000</v>
      </c>
      <c r="F316" s="3">
        <v>300000</v>
      </c>
      <c r="H316" s="3">
        <v>500000</v>
      </c>
      <c r="J316" s="3">
        <v>500000</v>
      </c>
      <c r="L316" s="3">
        <v>1600000</v>
      </c>
      <c r="N316" s="3">
        <v>3200000</v>
      </c>
    </row>
    <row r="317" spans="4:14" x14ac:dyDescent="0.3">
      <c r="D317" s="3">
        <v>300000</v>
      </c>
      <c r="F317" s="3">
        <v>300000</v>
      </c>
      <c r="H317" s="3">
        <v>500000</v>
      </c>
      <c r="J317" s="3">
        <v>500000</v>
      </c>
      <c r="L317" s="3">
        <v>1600000</v>
      </c>
      <c r="N317" s="3">
        <v>3200000</v>
      </c>
    </row>
    <row r="318" spans="4:14" x14ac:dyDescent="0.3">
      <c r="D318" s="3">
        <v>300000</v>
      </c>
      <c r="F318" s="3">
        <v>300000</v>
      </c>
      <c r="H318" s="3">
        <v>500000</v>
      </c>
      <c r="J318" s="3">
        <v>500000</v>
      </c>
      <c r="L318" s="3">
        <v>1600000</v>
      </c>
      <c r="N318" s="3">
        <v>3200000</v>
      </c>
    </row>
    <row r="319" spans="4:14" x14ac:dyDescent="0.3">
      <c r="D319" s="3">
        <v>300000</v>
      </c>
      <c r="F319" s="3">
        <v>300000</v>
      </c>
      <c r="H319" s="3">
        <v>500000</v>
      </c>
      <c r="J319" s="3">
        <v>500000</v>
      </c>
      <c r="L319" s="3">
        <v>1600000</v>
      </c>
      <c r="N319" s="3">
        <v>3200000</v>
      </c>
    </row>
    <row r="320" spans="4:14" x14ac:dyDescent="0.3">
      <c r="D320" s="3">
        <v>300000</v>
      </c>
      <c r="F320" s="3">
        <v>300000</v>
      </c>
      <c r="H320" s="3">
        <v>500000</v>
      </c>
      <c r="J320" s="3">
        <v>500000</v>
      </c>
      <c r="L320" s="3">
        <v>1600000</v>
      </c>
      <c r="N320" s="3">
        <v>3200000</v>
      </c>
    </row>
    <row r="321" spans="4:14" x14ac:dyDescent="0.3">
      <c r="D321" s="3">
        <v>300000</v>
      </c>
      <c r="F321" s="3">
        <v>300000</v>
      </c>
      <c r="H321" s="3">
        <v>500000</v>
      </c>
      <c r="J321" s="3">
        <v>500000</v>
      </c>
      <c r="L321" s="3">
        <v>1600000</v>
      </c>
      <c r="N321" s="3">
        <v>3200000</v>
      </c>
    </row>
    <row r="322" spans="4:14" x14ac:dyDescent="0.3">
      <c r="D322" s="3">
        <v>300000</v>
      </c>
      <c r="F322" s="3">
        <v>300000</v>
      </c>
      <c r="H322" s="3">
        <v>500000</v>
      </c>
      <c r="J322" s="3">
        <v>500000</v>
      </c>
      <c r="L322" s="3">
        <v>1600000</v>
      </c>
      <c r="N322" s="3">
        <v>3200000</v>
      </c>
    </row>
    <row r="323" spans="4:14" x14ac:dyDescent="0.3">
      <c r="D323" s="3">
        <v>300000</v>
      </c>
      <c r="F323" s="3">
        <v>300000</v>
      </c>
      <c r="H323" s="3">
        <v>500000</v>
      </c>
      <c r="J323" s="3">
        <v>500000</v>
      </c>
      <c r="L323" s="3">
        <v>1600000</v>
      </c>
      <c r="N323" s="3">
        <v>3200000</v>
      </c>
    </row>
    <row r="324" spans="4:14" x14ac:dyDescent="0.3">
      <c r="D324" s="3">
        <v>300000</v>
      </c>
      <c r="F324" s="3">
        <v>300000</v>
      </c>
      <c r="H324" s="3">
        <v>500000</v>
      </c>
      <c r="J324" s="3">
        <v>500000</v>
      </c>
      <c r="L324" s="3">
        <v>1600000</v>
      </c>
      <c r="N324" s="3">
        <v>3200000</v>
      </c>
    </row>
    <row r="325" spans="4:14" x14ac:dyDescent="0.3">
      <c r="D325" s="3">
        <v>300000</v>
      </c>
      <c r="F325" s="3">
        <v>300000</v>
      </c>
      <c r="H325" s="3">
        <v>500000</v>
      </c>
      <c r="J325" s="3">
        <v>500000</v>
      </c>
      <c r="L325" s="3">
        <v>1600000</v>
      </c>
      <c r="N325" s="3">
        <v>3200000</v>
      </c>
    </row>
    <row r="326" spans="4:14" x14ac:dyDescent="0.3">
      <c r="D326" s="3">
        <v>300000</v>
      </c>
      <c r="F326" s="3">
        <v>300000</v>
      </c>
      <c r="H326" s="3">
        <v>500000</v>
      </c>
      <c r="J326" s="3">
        <v>500000</v>
      </c>
      <c r="L326" s="3">
        <v>1600000</v>
      </c>
      <c r="N326" s="3">
        <v>3200000</v>
      </c>
    </row>
    <row r="327" spans="4:14" x14ac:dyDescent="0.3">
      <c r="D327" s="3">
        <v>300000</v>
      </c>
      <c r="F327" s="3">
        <v>300000</v>
      </c>
      <c r="H327" s="3">
        <v>500000</v>
      </c>
      <c r="J327" s="3">
        <v>500000</v>
      </c>
      <c r="L327" s="3">
        <v>1600000</v>
      </c>
      <c r="N327" s="3">
        <v>3200000</v>
      </c>
    </row>
    <row r="328" spans="4:14" x14ac:dyDescent="0.3">
      <c r="D328" s="3">
        <v>300000</v>
      </c>
      <c r="F328" s="3">
        <v>300000</v>
      </c>
      <c r="H328" s="3">
        <v>500000</v>
      </c>
      <c r="J328" s="3">
        <v>500000</v>
      </c>
      <c r="L328" s="3">
        <v>1600000</v>
      </c>
      <c r="N328" s="3">
        <v>3200000</v>
      </c>
    </row>
    <row r="329" spans="4:14" x14ac:dyDescent="0.3">
      <c r="D329" s="3">
        <v>300000</v>
      </c>
      <c r="F329" s="3">
        <v>300000</v>
      </c>
      <c r="H329" s="3">
        <v>500000</v>
      </c>
      <c r="J329" s="3">
        <v>500000</v>
      </c>
      <c r="L329" s="3">
        <v>1600000</v>
      </c>
      <c r="N329" s="3">
        <v>3200000</v>
      </c>
    </row>
    <row r="330" spans="4:14" x14ac:dyDescent="0.3">
      <c r="D330" s="3">
        <v>300000</v>
      </c>
      <c r="F330" s="3">
        <v>300000</v>
      </c>
      <c r="H330" s="3">
        <v>500000</v>
      </c>
      <c r="J330" s="3">
        <v>500000</v>
      </c>
      <c r="L330" s="3">
        <v>1600000</v>
      </c>
      <c r="N330" s="3">
        <v>3200000</v>
      </c>
    </row>
    <row r="331" spans="4:14" x14ac:dyDescent="0.3">
      <c r="D331" s="3">
        <v>300000</v>
      </c>
      <c r="F331" s="3">
        <v>300000</v>
      </c>
      <c r="H331" s="3">
        <v>500000</v>
      </c>
      <c r="J331" s="3">
        <v>500000</v>
      </c>
      <c r="L331" s="3">
        <v>1600000</v>
      </c>
      <c r="N331" s="3">
        <v>3200000</v>
      </c>
    </row>
    <row r="332" spans="4:14" x14ac:dyDescent="0.3">
      <c r="D332" s="3">
        <v>300000</v>
      </c>
      <c r="F332" s="3">
        <v>300000</v>
      </c>
      <c r="H332" s="3">
        <v>500000</v>
      </c>
      <c r="J332" s="3">
        <v>500000</v>
      </c>
      <c r="L332" s="3">
        <v>1600000</v>
      </c>
      <c r="N332" s="3">
        <v>3200000</v>
      </c>
    </row>
    <row r="333" spans="4:14" x14ac:dyDescent="0.3">
      <c r="D333" s="3">
        <v>300000</v>
      </c>
      <c r="F333" s="3">
        <v>300000</v>
      </c>
      <c r="H333" s="3">
        <v>500000</v>
      </c>
      <c r="J333" s="3">
        <v>500000</v>
      </c>
      <c r="L333" s="3">
        <v>1600000</v>
      </c>
      <c r="N333" s="3">
        <v>3200000</v>
      </c>
    </row>
    <row r="334" spans="4:14" x14ac:dyDescent="0.3">
      <c r="D334" s="3">
        <v>300000</v>
      </c>
      <c r="F334" s="3">
        <v>300000</v>
      </c>
      <c r="H334" s="3">
        <v>500000</v>
      </c>
      <c r="J334" s="3">
        <v>500000</v>
      </c>
      <c r="L334" s="3">
        <v>1600000</v>
      </c>
      <c r="N334" s="3">
        <v>3200000</v>
      </c>
    </row>
    <row r="335" spans="4:14" x14ac:dyDescent="0.3">
      <c r="D335" s="3">
        <v>300000</v>
      </c>
      <c r="F335" s="3">
        <v>300000</v>
      </c>
      <c r="H335" s="3">
        <v>500000</v>
      </c>
      <c r="J335" s="3">
        <v>500000</v>
      </c>
      <c r="L335" s="3">
        <v>1600000</v>
      </c>
      <c r="N335" s="3">
        <v>3200000</v>
      </c>
    </row>
    <row r="336" spans="4:14" x14ac:dyDescent="0.3">
      <c r="D336" s="3">
        <v>300000</v>
      </c>
      <c r="F336" s="3">
        <v>300000</v>
      </c>
      <c r="H336" s="3">
        <v>500000</v>
      </c>
      <c r="J336" s="3">
        <v>500000</v>
      </c>
      <c r="L336" s="3">
        <v>1600000</v>
      </c>
      <c r="N336" s="3">
        <v>3200000</v>
      </c>
    </row>
    <row r="337" spans="4:14" x14ac:dyDescent="0.3">
      <c r="D337" s="3">
        <v>300000</v>
      </c>
      <c r="F337" s="3">
        <v>300000</v>
      </c>
      <c r="H337" s="3">
        <v>500000</v>
      </c>
      <c r="J337" s="3">
        <v>500000</v>
      </c>
      <c r="L337" s="3">
        <v>1600000</v>
      </c>
      <c r="N337" s="3">
        <v>3200000</v>
      </c>
    </row>
    <row r="338" spans="4:14" x14ac:dyDescent="0.3">
      <c r="D338" s="3">
        <v>300000</v>
      </c>
      <c r="F338" s="3">
        <v>300000</v>
      </c>
      <c r="H338" s="3">
        <v>500000</v>
      </c>
      <c r="J338" s="3">
        <v>500000</v>
      </c>
      <c r="L338" s="3">
        <v>1600000</v>
      </c>
      <c r="N338" s="3">
        <v>3200000</v>
      </c>
    </row>
    <row r="339" spans="4:14" x14ac:dyDescent="0.3">
      <c r="D339" s="3">
        <v>300000</v>
      </c>
      <c r="F339" s="3">
        <v>300000</v>
      </c>
      <c r="H339" s="3">
        <v>500000</v>
      </c>
      <c r="J339" s="3">
        <v>500000</v>
      </c>
      <c r="L339" s="3">
        <v>1600000</v>
      </c>
      <c r="N339" s="3">
        <v>3200000</v>
      </c>
    </row>
    <row r="340" spans="4:14" x14ac:dyDescent="0.3">
      <c r="D340" s="3">
        <v>300000</v>
      </c>
      <c r="F340" s="3">
        <v>300000</v>
      </c>
      <c r="H340" s="3">
        <v>500000</v>
      </c>
      <c r="J340" s="3">
        <v>500000</v>
      </c>
      <c r="L340" s="3">
        <v>1600000</v>
      </c>
      <c r="N340" s="3">
        <v>3200000</v>
      </c>
    </row>
    <row r="341" spans="4:14" x14ac:dyDescent="0.3">
      <c r="D341" s="3">
        <v>300000</v>
      </c>
      <c r="F341" s="3">
        <v>300000</v>
      </c>
      <c r="H341" s="3">
        <v>500000</v>
      </c>
      <c r="J341" s="3">
        <v>500000</v>
      </c>
      <c r="L341" s="3">
        <v>1600000</v>
      </c>
      <c r="N341" s="3">
        <v>3200000</v>
      </c>
    </row>
    <row r="342" spans="4:14" x14ac:dyDescent="0.3">
      <c r="D342" s="3">
        <v>300000</v>
      </c>
      <c r="F342" s="3">
        <v>300000</v>
      </c>
      <c r="H342" s="3">
        <v>500000</v>
      </c>
      <c r="J342" s="3">
        <v>500000</v>
      </c>
      <c r="L342" s="3">
        <v>1600000</v>
      </c>
      <c r="N342" s="3">
        <v>3200000</v>
      </c>
    </row>
    <row r="343" spans="4:14" x14ac:dyDescent="0.3">
      <c r="D343" s="3">
        <v>300000</v>
      </c>
      <c r="F343" s="3">
        <v>300000</v>
      </c>
      <c r="H343" s="3">
        <v>500000</v>
      </c>
      <c r="J343" s="3">
        <v>500000</v>
      </c>
      <c r="L343" s="3">
        <v>1600000</v>
      </c>
      <c r="N343" s="3">
        <v>3200000</v>
      </c>
    </row>
    <row r="344" spans="4:14" x14ac:dyDescent="0.3">
      <c r="D344" s="3">
        <v>300000</v>
      </c>
      <c r="F344" s="3">
        <v>300000</v>
      </c>
      <c r="H344" s="3">
        <v>500000</v>
      </c>
      <c r="J344" s="3">
        <v>500000</v>
      </c>
      <c r="L344" s="3">
        <v>1600000</v>
      </c>
      <c r="N344" s="3">
        <v>3200000</v>
      </c>
    </row>
    <row r="345" spans="4:14" x14ac:dyDescent="0.3">
      <c r="D345" s="3">
        <v>300000</v>
      </c>
      <c r="F345" s="3">
        <v>300000</v>
      </c>
      <c r="H345" s="3">
        <v>500000</v>
      </c>
      <c r="J345" s="3">
        <v>500000</v>
      </c>
      <c r="L345" s="3">
        <v>1600000</v>
      </c>
      <c r="N345" s="3">
        <v>3200000</v>
      </c>
    </row>
    <row r="346" spans="4:14" x14ac:dyDescent="0.3">
      <c r="D346" s="3">
        <v>300000</v>
      </c>
      <c r="F346" s="3">
        <v>300000</v>
      </c>
      <c r="H346" s="3">
        <v>500000</v>
      </c>
      <c r="J346" s="3">
        <v>500000</v>
      </c>
      <c r="L346" s="3">
        <v>1600000</v>
      </c>
      <c r="N346" s="3">
        <v>3200000</v>
      </c>
    </row>
    <row r="347" spans="4:14" x14ac:dyDescent="0.3">
      <c r="D347" s="3">
        <v>300000</v>
      </c>
      <c r="F347" s="3">
        <v>300000</v>
      </c>
      <c r="H347" s="3">
        <v>500000</v>
      </c>
      <c r="J347" s="3">
        <v>500000</v>
      </c>
      <c r="L347" s="3">
        <v>1600000</v>
      </c>
      <c r="N347" s="3">
        <v>3200000</v>
      </c>
    </row>
    <row r="348" spans="4:14" x14ac:dyDescent="0.3">
      <c r="D348" s="3">
        <v>300000</v>
      </c>
      <c r="F348" s="3">
        <v>300000</v>
      </c>
      <c r="H348" s="3">
        <v>500000</v>
      </c>
      <c r="J348" s="3">
        <v>500000</v>
      </c>
      <c r="L348" s="3">
        <v>1600000</v>
      </c>
      <c r="N348" s="3">
        <v>3200000</v>
      </c>
    </row>
    <row r="349" spans="4:14" x14ac:dyDescent="0.3">
      <c r="D349" s="3">
        <v>300000</v>
      </c>
      <c r="F349" s="3">
        <v>300000</v>
      </c>
      <c r="H349" s="3">
        <v>500000</v>
      </c>
      <c r="J349" s="3">
        <v>500000</v>
      </c>
      <c r="L349" s="3">
        <v>1600000</v>
      </c>
      <c r="N349" s="3">
        <v>3200000</v>
      </c>
    </row>
    <row r="350" spans="4:14" x14ac:dyDescent="0.3">
      <c r="D350" s="3">
        <v>300000</v>
      </c>
      <c r="F350" s="3">
        <v>300000</v>
      </c>
      <c r="H350" s="3">
        <v>500000</v>
      </c>
      <c r="J350" s="3">
        <v>500000</v>
      </c>
      <c r="L350" s="3">
        <v>1600000</v>
      </c>
      <c r="N350" s="3">
        <v>3200000</v>
      </c>
    </row>
    <row r="351" spans="4:14" x14ac:dyDescent="0.3">
      <c r="D351" s="3">
        <v>300000</v>
      </c>
      <c r="F351" s="3">
        <v>300000</v>
      </c>
      <c r="H351" s="3">
        <v>500000</v>
      </c>
      <c r="J351" s="3">
        <v>500000</v>
      </c>
      <c r="L351" s="3">
        <v>1600000</v>
      </c>
      <c r="N351" s="3">
        <v>3200000</v>
      </c>
    </row>
    <row r="352" spans="4:14" x14ac:dyDescent="0.3">
      <c r="D352" s="3">
        <v>300000</v>
      </c>
      <c r="F352" s="3">
        <v>300000</v>
      </c>
      <c r="H352" s="3">
        <v>500000</v>
      </c>
      <c r="J352" s="3">
        <v>500000</v>
      </c>
      <c r="L352" s="3">
        <v>1600000</v>
      </c>
      <c r="N352" s="3">
        <v>3200000</v>
      </c>
    </row>
    <row r="353" spans="4:14" x14ac:dyDescent="0.3">
      <c r="D353" s="3">
        <v>300000</v>
      </c>
      <c r="F353" s="3">
        <v>300000</v>
      </c>
      <c r="H353" s="3">
        <v>500000</v>
      </c>
      <c r="J353" s="3">
        <v>500000</v>
      </c>
      <c r="L353" s="3">
        <v>1600000</v>
      </c>
      <c r="N353" s="3">
        <v>3200000</v>
      </c>
    </row>
    <row r="354" spans="4:14" x14ac:dyDescent="0.3">
      <c r="D354" s="3">
        <v>300000</v>
      </c>
      <c r="F354" s="3">
        <v>300000</v>
      </c>
      <c r="H354" s="3">
        <v>500000</v>
      </c>
      <c r="J354" s="3">
        <v>500000</v>
      </c>
      <c r="L354" s="3">
        <v>1600000</v>
      </c>
      <c r="N354" s="3">
        <v>3200000</v>
      </c>
    </row>
    <row r="355" spans="4:14" x14ac:dyDescent="0.3">
      <c r="D355" s="3">
        <v>300000</v>
      </c>
      <c r="F355" s="3">
        <v>300000</v>
      </c>
      <c r="H355" s="3">
        <v>500000</v>
      </c>
      <c r="J355" s="3">
        <v>500000</v>
      </c>
      <c r="L355" s="3">
        <v>1600000</v>
      </c>
      <c r="N355" s="3">
        <v>3200000</v>
      </c>
    </row>
    <row r="356" spans="4:14" x14ac:dyDescent="0.3">
      <c r="D356" s="3">
        <v>300000</v>
      </c>
      <c r="F356" s="3">
        <v>300000</v>
      </c>
      <c r="H356" s="3">
        <v>500000</v>
      </c>
      <c r="J356" s="3">
        <v>500000</v>
      </c>
      <c r="L356" s="3">
        <v>1600000</v>
      </c>
      <c r="N356" s="3">
        <v>3200000</v>
      </c>
    </row>
    <row r="357" spans="4:14" x14ac:dyDescent="0.3">
      <c r="D357" s="3">
        <v>300000</v>
      </c>
      <c r="F357" s="3">
        <v>300000</v>
      </c>
      <c r="H357" s="3">
        <v>500000</v>
      </c>
      <c r="J357" s="3">
        <v>500000</v>
      </c>
      <c r="L357" s="3">
        <v>1600000</v>
      </c>
      <c r="N357" s="3">
        <v>3200000</v>
      </c>
    </row>
    <row r="358" spans="4:14" x14ac:dyDescent="0.3">
      <c r="D358" s="3">
        <v>300000</v>
      </c>
      <c r="F358" s="3">
        <v>300000</v>
      </c>
      <c r="H358" s="3">
        <v>500000</v>
      </c>
      <c r="J358" s="3">
        <v>500000</v>
      </c>
      <c r="L358" s="3">
        <v>1600000</v>
      </c>
      <c r="N358" s="3">
        <v>3200000</v>
      </c>
    </row>
    <row r="359" spans="4:14" x14ac:dyDescent="0.3">
      <c r="D359" s="3">
        <v>300000</v>
      </c>
      <c r="F359" s="3">
        <v>300000</v>
      </c>
      <c r="H359" s="3">
        <v>500000</v>
      </c>
      <c r="J359" s="3">
        <v>500000</v>
      </c>
      <c r="L359" s="3">
        <v>1600000</v>
      </c>
      <c r="N359" s="3">
        <v>3200000</v>
      </c>
    </row>
    <row r="360" spans="4:14" x14ac:dyDescent="0.3">
      <c r="D360" s="3">
        <v>300000</v>
      </c>
      <c r="F360" s="3">
        <v>300000</v>
      </c>
      <c r="H360" s="3">
        <v>500000</v>
      </c>
      <c r="J360" s="3">
        <v>500000</v>
      </c>
      <c r="L360" s="3">
        <v>1600000</v>
      </c>
      <c r="N360" s="3">
        <v>3200000</v>
      </c>
    </row>
    <row r="361" spans="4:14" x14ac:dyDescent="0.3">
      <c r="D361" s="3">
        <v>300000</v>
      </c>
      <c r="F361" s="3">
        <v>300000</v>
      </c>
      <c r="H361" s="3">
        <v>500000</v>
      </c>
      <c r="J361" s="3">
        <v>500000</v>
      </c>
      <c r="L361" s="3">
        <v>1600000</v>
      </c>
      <c r="N361" s="3">
        <v>3200000</v>
      </c>
    </row>
    <row r="362" spans="4:14" x14ac:dyDescent="0.3">
      <c r="D362" s="3">
        <v>300000</v>
      </c>
      <c r="F362" s="3">
        <v>300000</v>
      </c>
      <c r="H362" s="3">
        <v>500000</v>
      </c>
      <c r="J362" s="3">
        <v>500000</v>
      </c>
      <c r="L362" s="3">
        <v>1600000</v>
      </c>
      <c r="N362" s="3">
        <v>3200000</v>
      </c>
    </row>
    <row r="363" spans="4:14" x14ac:dyDescent="0.3">
      <c r="D363" s="3">
        <v>300000</v>
      </c>
      <c r="F363" s="3">
        <v>300000</v>
      </c>
      <c r="H363" s="3">
        <v>500000</v>
      </c>
      <c r="J363" s="3">
        <v>500000</v>
      </c>
      <c r="L363" s="3">
        <v>1600000</v>
      </c>
      <c r="N363" s="3">
        <v>3200000</v>
      </c>
    </row>
    <row r="364" spans="4:14" x14ac:dyDescent="0.3">
      <c r="D364" s="3">
        <v>300000</v>
      </c>
      <c r="F364" s="3">
        <v>300000</v>
      </c>
      <c r="H364" s="3">
        <v>500000</v>
      </c>
      <c r="J364" s="3">
        <v>500000</v>
      </c>
      <c r="L364" s="3">
        <v>1600000</v>
      </c>
      <c r="N364" s="3">
        <v>3200000</v>
      </c>
    </row>
    <row r="365" spans="4:14" x14ac:dyDescent="0.3">
      <c r="D365" s="3">
        <v>300000</v>
      </c>
      <c r="F365" s="3">
        <v>300000</v>
      </c>
      <c r="H365" s="3">
        <v>500000</v>
      </c>
      <c r="J365" s="3">
        <v>500000</v>
      </c>
      <c r="L365" s="3">
        <v>1600000</v>
      </c>
      <c r="N365" s="3">
        <v>3200000</v>
      </c>
    </row>
    <row r="366" spans="4:14" x14ac:dyDescent="0.3">
      <c r="D366" s="3">
        <v>300000</v>
      </c>
      <c r="F366" s="3">
        <v>300000</v>
      </c>
      <c r="H366" s="3">
        <v>500000</v>
      </c>
      <c r="J366" s="3">
        <v>500000</v>
      </c>
      <c r="L366" s="3">
        <v>1600000</v>
      </c>
      <c r="N366" s="3">
        <v>3200000</v>
      </c>
    </row>
    <row r="367" spans="4:14" x14ac:dyDescent="0.3">
      <c r="D367" s="3">
        <v>300000</v>
      </c>
      <c r="F367" s="3">
        <v>300000</v>
      </c>
      <c r="H367" s="3">
        <v>500000</v>
      </c>
      <c r="J367" s="3">
        <v>500000</v>
      </c>
      <c r="L367" s="3">
        <v>1600000</v>
      </c>
      <c r="N367" s="3">
        <v>3200000</v>
      </c>
    </row>
    <row r="368" spans="4:14" x14ac:dyDescent="0.3">
      <c r="D368" s="3">
        <v>300000</v>
      </c>
      <c r="F368" s="3">
        <v>300000</v>
      </c>
      <c r="H368" s="3">
        <v>500000</v>
      </c>
      <c r="J368" s="3">
        <v>500000</v>
      </c>
      <c r="L368" s="3">
        <v>1600000</v>
      </c>
      <c r="N368" s="3">
        <v>3200000</v>
      </c>
    </row>
    <row r="369" spans="4:14" x14ac:dyDescent="0.3">
      <c r="D369" s="3">
        <v>300000</v>
      </c>
      <c r="F369" s="3">
        <v>300000</v>
      </c>
      <c r="H369" s="3">
        <v>500000</v>
      </c>
      <c r="J369" s="3">
        <v>500000</v>
      </c>
      <c r="L369" s="3">
        <v>1600000</v>
      </c>
      <c r="N369" s="3">
        <v>3200000</v>
      </c>
    </row>
    <row r="370" spans="4:14" x14ac:dyDescent="0.3">
      <c r="D370" s="3">
        <v>300000</v>
      </c>
      <c r="F370" s="3">
        <v>300000</v>
      </c>
      <c r="H370" s="3">
        <v>500000</v>
      </c>
      <c r="J370" s="3">
        <v>500000</v>
      </c>
      <c r="L370" s="3">
        <v>1600000</v>
      </c>
      <c r="N370" s="3">
        <v>3200000</v>
      </c>
    </row>
    <row r="371" spans="4:14" x14ac:dyDescent="0.3">
      <c r="D371" s="3">
        <v>300000</v>
      </c>
      <c r="F371" s="3">
        <v>300000</v>
      </c>
      <c r="H371" s="3">
        <v>500000</v>
      </c>
      <c r="J371" s="3">
        <v>500000</v>
      </c>
      <c r="L371" s="3">
        <v>1600000</v>
      </c>
      <c r="N371" s="3">
        <v>3200000</v>
      </c>
    </row>
    <row r="372" spans="4:14" x14ac:dyDescent="0.3">
      <c r="D372" s="3">
        <v>300000</v>
      </c>
      <c r="F372" s="3">
        <v>300000</v>
      </c>
      <c r="H372" s="3">
        <v>500000</v>
      </c>
      <c r="J372" s="3">
        <v>500000</v>
      </c>
      <c r="L372" s="3">
        <v>1600000</v>
      </c>
      <c r="N372" s="3">
        <v>3200000</v>
      </c>
    </row>
    <row r="373" spans="4:14" x14ac:dyDescent="0.3">
      <c r="D373" s="3">
        <v>300000</v>
      </c>
      <c r="F373" s="3">
        <v>300000</v>
      </c>
      <c r="H373" s="3">
        <v>500000</v>
      </c>
      <c r="J373" s="3">
        <v>500000</v>
      </c>
      <c r="L373" s="3">
        <v>1600000</v>
      </c>
      <c r="N373" s="3">
        <v>3200000</v>
      </c>
    </row>
    <row r="374" spans="4:14" x14ac:dyDescent="0.3">
      <c r="D374" s="3">
        <v>300000</v>
      </c>
      <c r="F374" s="3">
        <v>300000</v>
      </c>
      <c r="H374" s="3">
        <v>500000</v>
      </c>
      <c r="J374" s="3">
        <v>500000</v>
      </c>
      <c r="L374" s="3">
        <v>1600000</v>
      </c>
      <c r="N374" s="3">
        <v>3200000</v>
      </c>
    </row>
    <row r="375" spans="4:14" x14ac:dyDescent="0.3">
      <c r="D375" s="3">
        <v>300000</v>
      </c>
      <c r="F375" s="3">
        <v>300000</v>
      </c>
      <c r="H375" s="3">
        <v>500000</v>
      </c>
      <c r="J375" s="3">
        <v>500000</v>
      </c>
      <c r="L375" s="3">
        <v>1600000</v>
      </c>
      <c r="N375" s="3">
        <v>3200000</v>
      </c>
    </row>
    <row r="376" spans="4:14" x14ac:dyDescent="0.3">
      <c r="D376" s="3">
        <v>300000</v>
      </c>
      <c r="F376" s="3">
        <v>300000</v>
      </c>
      <c r="H376" s="3">
        <v>500000</v>
      </c>
      <c r="J376" s="3">
        <v>500000</v>
      </c>
      <c r="L376" s="3">
        <v>1600000</v>
      </c>
      <c r="N376" s="3">
        <v>3200000</v>
      </c>
    </row>
    <row r="377" spans="4:14" x14ac:dyDescent="0.3">
      <c r="D377" s="3">
        <v>300000</v>
      </c>
      <c r="F377" s="3">
        <v>300000</v>
      </c>
      <c r="H377" s="3">
        <v>500000</v>
      </c>
      <c r="J377" s="3">
        <v>500000</v>
      </c>
      <c r="L377" s="3">
        <v>1600000</v>
      </c>
      <c r="N377" s="3">
        <v>3200000</v>
      </c>
    </row>
    <row r="378" spans="4:14" x14ac:dyDescent="0.3">
      <c r="D378" s="3">
        <v>300000</v>
      </c>
      <c r="F378" s="3">
        <v>300000</v>
      </c>
      <c r="H378" s="3">
        <v>500000</v>
      </c>
      <c r="J378" s="3">
        <v>500000</v>
      </c>
      <c r="L378" s="3">
        <v>1600000</v>
      </c>
      <c r="N378" s="3">
        <v>3200000</v>
      </c>
    </row>
    <row r="379" spans="4:14" x14ac:dyDescent="0.3">
      <c r="D379" s="3">
        <v>300000</v>
      </c>
      <c r="F379" s="3">
        <v>300000</v>
      </c>
      <c r="H379" s="3">
        <v>500000</v>
      </c>
      <c r="J379" s="3">
        <v>500000</v>
      </c>
      <c r="L379" s="3">
        <v>1600000</v>
      </c>
      <c r="N379" s="3">
        <v>3200000</v>
      </c>
    </row>
    <row r="380" spans="4:14" x14ac:dyDescent="0.3">
      <c r="D380" s="3">
        <v>300000</v>
      </c>
      <c r="F380" s="3">
        <v>300000</v>
      </c>
      <c r="H380" s="3">
        <v>500000</v>
      </c>
      <c r="J380" s="3">
        <v>500000</v>
      </c>
      <c r="L380" s="3">
        <v>1600000</v>
      </c>
      <c r="N380" s="3">
        <v>3200000</v>
      </c>
    </row>
    <row r="381" spans="4:14" x14ac:dyDescent="0.3">
      <c r="D381" s="3">
        <v>300000</v>
      </c>
      <c r="F381" s="3">
        <v>300000</v>
      </c>
      <c r="H381" s="3">
        <v>500000</v>
      </c>
      <c r="J381" s="3">
        <v>500000</v>
      </c>
      <c r="L381" s="3">
        <v>1600000</v>
      </c>
      <c r="N381" s="3">
        <v>3200000</v>
      </c>
    </row>
    <row r="382" spans="4:14" x14ac:dyDescent="0.3">
      <c r="D382" s="3">
        <v>300000</v>
      </c>
      <c r="F382" s="3">
        <v>300000</v>
      </c>
      <c r="H382" s="3">
        <v>500000</v>
      </c>
      <c r="J382" s="3">
        <v>500000</v>
      </c>
      <c r="L382" s="3">
        <v>1600000</v>
      </c>
      <c r="N382" s="3">
        <v>3200000</v>
      </c>
    </row>
    <row r="383" spans="4:14" x14ac:dyDescent="0.3">
      <c r="D383" s="3">
        <v>300000</v>
      </c>
      <c r="F383" s="3">
        <v>300000</v>
      </c>
      <c r="H383" s="3">
        <v>500000</v>
      </c>
      <c r="J383" s="3">
        <v>500000</v>
      </c>
      <c r="L383" s="3">
        <v>1600000</v>
      </c>
      <c r="N383" s="3">
        <v>3200000</v>
      </c>
    </row>
    <row r="384" spans="4:14" x14ac:dyDescent="0.3">
      <c r="D384" s="3">
        <v>300000</v>
      </c>
      <c r="F384" s="3">
        <v>300000</v>
      </c>
      <c r="H384" s="3">
        <v>500000</v>
      </c>
      <c r="J384" s="3">
        <v>500000</v>
      </c>
      <c r="L384" s="3">
        <v>1600000</v>
      </c>
      <c r="N384" s="3">
        <v>3200000</v>
      </c>
    </row>
    <row r="385" spans="4:14" x14ac:dyDescent="0.3">
      <c r="D385" s="3">
        <v>300000</v>
      </c>
      <c r="F385" s="3">
        <v>300000</v>
      </c>
      <c r="H385" s="3">
        <v>500000</v>
      </c>
      <c r="J385" s="3">
        <v>500000</v>
      </c>
      <c r="L385" s="3">
        <v>1600000</v>
      </c>
      <c r="N385" s="3">
        <v>3200000</v>
      </c>
    </row>
    <row r="386" spans="4:14" x14ac:dyDescent="0.3">
      <c r="D386" s="3">
        <v>300000</v>
      </c>
      <c r="F386" s="3">
        <v>300000</v>
      </c>
      <c r="H386" s="3">
        <v>500000</v>
      </c>
      <c r="J386" s="3">
        <v>500000</v>
      </c>
      <c r="L386" s="3">
        <v>1600000</v>
      </c>
      <c r="N386" s="3">
        <v>3200000</v>
      </c>
    </row>
    <row r="387" spans="4:14" x14ac:dyDescent="0.3">
      <c r="D387" s="3">
        <v>300000</v>
      </c>
      <c r="F387" s="3">
        <v>300000</v>
      </c>
      <c r="H387" s="3">
        <v>500000</v>
      </c>
      <c r="J387" s="3">
        <v>500000</v>
      </c>
      <c r="L387" s="3">
        <v>1600000</v>
      </c>
      <c r="N387" s="3">
        <v>3200000</v>
      </c>
    </row>
    <row r="388" spans="4:14" x14ac:dyDescent="0.3">
      <c r="D388" s="3">
        <v>300000</v>
      </c>
      <c r="F388" s="3">
        <v>300000</v>
      </c>
      <c r="H388" s="3">
        <v>500000</v>
      </c>
      <c r="J388" s="3">
        <v>500000</v>
      </c>
      <c r="L388" s="3">
        <v>1600000</v>
      </c>
      <c r="N388" s="3">
        <v>3200000</v>
      </c>
    </row>
    <row r="389" spans="4:14" x14ac:dyDescent="0.3">
      <c r="D389" s="3">
        <v>300000</v>
      </c>
      <c r="F389" s="3">
        <v>300000</v>
      </c>
      <c r="H389" s="3">
        <v>500000</v>
      </c>
      <c r="J389" s="3">
        <v>500000</v>
      </c>
      <c r="L389" s="3">
        <v>1600000</v>
      </c>
      <c r="N389" s="3">
        <v>3200000</v>
      </c>
    </row>
    <row r="390" spans="4:14" x14ac:dyDescent="0.3">
      <c r="D390" s="3">
        <v>300000</v>
      </c>
      <c r="F390" s="3">
        <v>300000</v>
      </c>
      <c r="H390" s="3">
        <v>500000</v>
      </c>
      <c r="J390" s="3">
        <v>500000</v>
      </c>
      <c r="L390" s="3">
        <v>1600000</v>
      </c>
      <c r="N390" s="3">
        <v>3200000</v>
      </c>
    </row>
    <row r="391" spans="4:14" x14ac:dyDescent="0.3">
      <c r="D391" s="3">
        <v>300000</v>
      </c>
      <c r="F391" s="3">
        <v>300000</v>
      </c>
      <c r="H391" s="3">
        <v>500000</v>
      </c>
      <c r="J391" s="3">
        <v>500000</v>
      </c>
      <c r="L391" s="3">
        <v>1600000</v>
      </c>
      <c r="N391" s="3">
        <v>3200000</v>
      </c>
    </row>
    <row r="392" spans="4:14" x14ac:dyDescent="0.3">
      <c r="D392" s="3">
        <v>300000</v>
      </c>
      <c r="F392" s="3">
        <v>300000</v>
      </c>
      <c r="H392" s="3">
        <v>500000</v>
      </c>
      <c r="J392" s="3">
        <v>500000</v>
      </c>
      <c r="L392" s="3">
        <v>1600000</v>
      </c>
      <c r="N392" s="3">
        <v>3200000</v>
      </c>
    </row>
    <row r="393" spans="4:14" x14ac:dyDescent="0.3">
      <c r="D393" s="3">
        <v>300000</v>
      </c>
      <c r="F393" s="3">
        <v>300000</v>
      </c>
      <c r="H393" s="3">
        <v>500000</v>
      </c>
      <c r="J393" s="3">
        <v>500000</v>
      </c>
      <c r="L393" s="3">
        <v>1600000</v>
      </c>
      <c r="N393" s="3">
        <v>3200000</v>
      </c>
    </row>
    <row r="394" spans="4:14" x14ac:dyDescent="0.3">
      <c r="D394" s="3">
        <v>300000</v>
      </c>
      <c r="F394" s="3">
        <v>300000</v>
      </c>
      <c r="H394" s="3">
        <v>500000</v>
      </c>
      <c r="J394" s="3">
        <v>500000</v>
      </c>
      <c r="L394" s="3">
        <v>1600000</v>
      </c>
      <c r="N394" s="3">
        <v>3200000</v>
      </c>
    </row>
    <row r="395" spans="4:14" x14ac:dyDescent="0.3">
      <c r="D395" s="3">
        <v>300000</v>
      </c>
      <c r="F395" s="3">
        <v>300000</v>
      </c>
      <c r="H395" s="3">
        <v>500000</v>
      </c>
      <c r="J395" s="3">
        <v>500000</v>
      </c>
      <c r="L395" s="3">
        <v>1600000</v>
      </c>
      <c r="N395" s="3">
        <v>3200000</v>
      </c>
    </row>
    <row r="396" spans="4:14" x14ac:dyDescent="0.3">
      <c r="D396" s="3">
        <v>300000</v>
      </c>
      <c r="F396" s="3">
        <v>300000</v>
      </c>
      <c r="H396" s="3">
        <v>500000</v>
      </c>
      <c r="J396" s="3">
        <v>500000</v>
      </c>
      <c r="L396" s="3">
        <v>1600000</v>
      </c>
      <c r="N396" s="3">
        <v>3200000</v>
      </c>
    </row>
    <row r="397" spans="4:14" x14ac:dyDescent="0.3">
      <c r="D397" s="3">
        <v>300000</v>
      </c>
      <c r="F397" s="3">
        <v>300000</v>
      </c>
      <c r="H397" s="3">
        <v>500000</v>
      </c>
      <c r="J397" s="3">
        <v>500000</v>
      </c>
      <c r="L397" s="3">
        <v>1600000</v>
      </c>
      <c r="N397" s="3">
        <v>3200000</v>
      </c>
    </row>
    <row r="398" spans="4:14" x14ac:dyDescent="0.3">
      <c r="D398" s="3">
        <v>300000</v>
      </c>
      <c r="F398" s="3">
        <v>300000</v>
      </c>
      <c r="H398" s="3">
        <v>500000</v>
      </c>
      <c r="J398" s="3">
        <v>500000</v>
      </c>
      <c r="L398" s="3">
        <v>1600000</v>
      </c>
      <c r="N398" s="3">
        <v>3200000</v>
      </c>
    </row>
    <row r="399" spans="4:14" x14ac:dyDescent="0.3">
      <c r="D399" s="3">
        <v>300000</v>
      </c>
      <c r="F399" s="3">
        <v>300000</v>
      </c>
      <c r="H399" s="3">
        <v>500000</v>
      </c>
      <c r="J399" s="3">
        <v>500000</v>
      </c>
      <c r="L399" s="3">
        <v>1600000</v>
      </c>
      <c r="N399" s="3">
        <v>3200000</v>
      </c>
    </row>
    <row r="400" spans="4:14" x14ac:dyDescent="0.3">
      <c r="D400" s="3">
        <v>300000</v>
      </c>
      <c r="F400" s="3">
        <v>300000</v>
      </c>
      <c r="H400" s="3">
        <v>500000</v>
      </c>
      <c r="J400" s="3">
        <v>500000</v>
      </c>
      <c r="L400" s="3">
        <v>1600000</v>
      </c>
      <c r="N400" s="3">
        <v>3200000</v>
      </c>
    </row>
    <row r="401" spans="4:14" x14ac:dyDescent="0.3">
      <c r="D401" s="3">
        <v>300000</v>
      </c>
      <c r="F401" s="3">
        <v>300000</v>
      </c>
      <c r="H401" s="3">
        <v>500000</v>
      </c>
      <c r="J401" s="3">
        <v>500000</v>
      </c>
      <c r="L401" s="3">
        <v>1600000</v>
      </c>
      <c r="N401" s="3">
        <v>3200000</v>
      </c>
    </row>
    <row r="402" spans="4:14" x14ac:dyDescent="0.3">
      <c r="D402" s="3">
        <v>300000</v>
      </c>
      <c r="F402" s="3">
        <v>300000</v>
      </c>
      <c r="H402" s="3">
        <v>500000</v>
      </c>
      <c r="J402" s="3">
        <v>500000</v>
      </c>
      <c r="L402" s="3">
        <v>1600000</v>
      </c>
      <c r="N402" s="3">
        <v>3200000</v>
      </c>
    </row>
    <row r="403" spans="4:14" x14ac:dyDescent="0.3">
      <c r="D403" s="3">
        <v>300000</v>
      </c>
      <c r="F403" s="3">
        <v>300000</v>
      </c>
      <c r="H403" s="3">
        <v>500000</v>
      </c>
      <c r="J403" s="3">
        <v>500000</v>
      </c>
      <c r="L403" s="3">
        <v>1600000</v>
      </c>
      <c r="N403" s="3">
        <v>3200000</v>
      </c>
    </row>
    <row r="404" spans="4:14" x14ac:dyDescent="0.3">
      <c r="D404" s="3">
        <v>300000</v>
      </c>
      <c r="F404" s="3">
        <v>300000</v>
      </c>
      <c r="H404" s="3">
        <v>500000</v>
      </c>
      <c r="J404" s="3">
        <v>500000</v>
      </c>
      <c r="L404" s="3">
        <v>1600000</v>
      </c>
      <c r="N404" s="3">
        <v>3200000</v>
      </c>
    </row>
    <row r="405" spans="4:14" x14ac:dyDescent="0.3">
      <c r="D405" s="3">
        <v>300000</v>
      </c>
      <c r="F405" s="3">
        <v>300000</v>
      </c>
      <c r="H405" s="3">
        <v>500000</v>
      </c>
      <c r="J405" s="3">
        <v>500000</v>
      </c>
      <c r="L405" s="3">
        <v>1600000</v>
      </c>
      <c r="N405" s="3">
        <v>3200000</v>
      </c>
    </row>
    <row r="406" spans="4:14" x14ac:dyDescent="0.3">
      <c r="D406" s="3">
        <v>300000</v>
      </c>
      <c r="F406" s="3">
        <v>300000</v>
      </c>
      <c r="H406" s="3">
        <v>500000</v>
      </c>
      <c r="J406" s="3">
        <v>500000</v>
      </c>
      <c r="L406" s="3">
        <v>1600000</v>
      </c>
      <c r="N406" s="3">
        <v>3200000</v>
      </c>
    </row>
    <row r="407" spans="4:14" x14ac:dyDescent="0.3">
      <c r="D407" s="3">
        <v>300000</v>
      </c>
      <c r="F407" s="3">
        <v>300000</v>
      </c>
      <c r="H407" s="3">
        <v>500000</v>
      </c>
      <c r="J407" s="3">
        <v>500000</v>
      </c>
      <c r="L407" s="3">
        <v>1600000</v>
      </c>
      <c r="N407" s="3">
        <v>3200000</v>
      </c>
    </row>
    <row r="408" spans="4:14" x14ac:dyDescent="0.3">
      <c r="D408" s="3">
        <v>300000</v>
      </c>
      <c r="F408" s="3">
        <v>300000</v>
      </c>
      <c r="H408" s="3">
        <v>500000</v>
      </c>
      <c r="J408" s="3">
        <v>500000</v>
      </c>
      <c r="L408" s="3">
        <v>1600000</v>
      </c>
      <c r="N408" s="3">
        <v>3200000</v>
      </c>
    </row>
    <row r="409" spans="4:14" x14ac:dyDescent="0.3">
      <c r="D409" s="3">
        <v>300000</v>
      </c>
      <c r="F409" s="3">
        <v>300000</v>
      </c>
      <c r="H409" s="3">
        <v>500000</v>
      </c>
      <c r="J409" s="3">
        <v>500000</v>
      </c>
      <c r="L409" s="3">
        <v>1600000</v>
      </c>
      <c r="N409" s="3">
        <v>3200000</v>
      </c>
    </row>
    <row r="410" spans="4:14" x14ac:dyDescent="0.3">
      <c r="D410" s="3">
        <v>300000</v>
      </c>
      <c r="F410" s="3">
        <v>300000</v>
      </c>
      <c r="H410" s="3">
        <v>500000</v>
      </c>
      <c r="J410" s="3">
        <v>500000</v>
      </c>
      <c r="L410" s="3">
        <v>1600000</v>
      </c>
      <c r="N410" s="3">
        <v>3200000</v>
      </c>
    </row>
    <row r="411" spans="4:14" x14ac:dyDescent="0.3">
      <c r="D411" s="3">
        <v>300000</v>
      </c>
      <c r="F411" s="3">
        <v>300000</v>
      </c>
      <c r="H411" s="3">
        <v>500000</v>
      </c>
      <c r="J411" s="3">
        <v>500000</v>
      </c>
      <c r="L411" s="3">
        <v>1600000</v>
      </c>
      <c r="N411" s="3">
        <v>3200000</v>
      </c>
    </row>
    <row r="412" spans="4:14" x14ac:dyDescent="0.3">
      <c r="D412" s="3">
        <v>300000</v>
      </c>
      <c r="F412" s="3">
        <v>300000</v>
      </c>
      <c r="H412" s="3">
        <v>500000</v>
      </c>
      <c r="J412" s="3">
        <v>500000</v>
      </c>
      <c r="L412" s="3">
        <v>1600000</v>
      </c>
      <c r="N412" s="3">
        <v>3200000</v>
      </c>
    </row>
    <row r="413" spans="4:14" x14ac:dyDescent="0.3">
      <c r="D413" s="3">
        <v>300000</v>
      </c>
      <c r="F413" s="3">
        <v>300000</v>
      </c>
      <c r="H413" s="3">
        <v>500000</v>
      </c>
      <c r="J413" s="3">
        <v>500000</v>
      </c>
      <c r="L413" s="3">
        <v>1600000</v>
      </c>
      <c r="N413" s="3">
        <v>3200000</v>
      </c>
    </row>
    <row r="414" spans="4:14" x14ac:dyDescent="0.3">
      <c r="D414" s="3">
        <v>300000</v>
      </c>
      <c r="F414" s="3">
        <v>300000</v>
      </c>
      <c r="H414" s="3">
        <v>500000</v>
      </c>
      <c r="J414" s="3">
        <v>500000</v>
      </c>
      <c r="L414" s="3">
        <v>1600000</v>
      </c>
      <c r="N414" s="3">
        <v>3200000</v>
      </c>
    </row>
    <row r="415" spans="4:14" x14ac:dyDescent="0.3">
      <c r="D415" s="3">
        <v>300000</v>
      </c>
      <c r="F415" s="3">
        <v>300000</v>
      </c>
      <c r="H415" s="3">
        <v>500000</v>
      </c>
      <c r="J415" s="3">
        <v>500000</v>
      </c>
      <c r="L415" s="3">
        <v>1600000</v>
      </c>
      <c r="N415" s="3">
        <v>3200000</v>
      </c>
    </row>
    <row r="416" spans="4:14" x14ac:dyDescent="0.3">
      <c r="D416" s="3">
        <v>300000</v>
      </c>
      <c r="F416" s="3">
        <v>300000</v>
      </c>
      <c r="H416" s="3">
        <v>500000</v>
      </c>
      <c r="J416" s="3">
        <v>500000</v>
      </c>
      <c r="L416" s="3">
        <v>1600000</v>
      </c>
      <c r="N416" s="3">
        <v>3200000</v>
      </c>
    </row>
    <row r="417" spans="4:14" x14ac:dyDescent="0.3">
      <c r="D417" s="3">
        <v>300000</v>
      </c>
      <c r="F417" s="3">
        <v>300000</v>
      </c>
      <c r="H417" s="3">
        <v>500000</v>
      </c>
      <c r="J417" s="3">
        <v>500000</v>
      </c>
      <c r="L417" s="3">
        <v>1600000</v>
      </c>
      <c r="N417" s="3">
        <v>3200000</v>
      </c>
    </row>
    <row r="418" spans="4:14" x14ac:dyDescent="0.3">
      <c r="D418" s="3">
        <v>300000</v>
      </c>
      <c r="F418" s="3">
        <v>300000</v>
      </c>
      <c r="H418" s="3">
        <v>500000</v>
      </c>
      <c r="J418" s="3">
        <v>500000</v>
      </c>
      <c r="L418" s="3">
        <v>1600000</v>
      </c>
      <c r="N418" s="3">
        <v>3200000</v>
      </c>
    </row>
    <row r="419" spans="4:14" x14ac:dyDescent="0.3">
      <c r="D419" s="3">
        <v>300000</v>
      </c>
      <c r="F419" s="3">
        <v>300000</v>
      </c>
      <c r="H419" s="3">
        <v>500000</v>
      </c>
      <c r="J419" s="3">
        <v>500000</v>
      </c>
      <c r="L419" s="3">
        <v>1600000</v>
      </c>
      <c r="N419" s="3">
        <v>3200000</v>
      </c>
    </row>
    <row r="420" spans="4:14" x14ac:dyDescent="0.3">
      <c r="D420" s="3">
        <v>300000</v>
      </c>
      <c r="F420" s="3">
        <v>300000</v>
      </c>
      <c r="H420" s="3">
        <v>500000</v>
      </c>
      <c r="J420" s="3">
        <v>500000</v>
      </c>
      <c r="L420" s="3">
        <v>1600000</v>
      </c>
      <c r="N420" s="3">
        <v>3200000</v>
      </c>
    </row>
    <row r="421" spans="4:14" x14ac:dyDescent="0.3">
      <c r="D421" s="3">
        <v>300000</v>
      </c>
      <c r="F421" s="3">
        <v>300000</v>
      </c>
      <c r="H421" s="3">
        <v>500000</v>
      </c>
      <c r="J421" s="3">
        <v>500000</v>
      </c>
      <c r="L421" s="3">
        <v>1600000</v>
      </c>
      <c r="N421" s="3">
        <v>3200000</v>
      </c>
    </row>
    <row r="422" spans="4:14" x14ac:dyDescent="0.3">
      <c r="D422" s="3">
        <v>300000</v>
      </c>
      <c r="F422" s="3">
        <v>300000</v>
      </c>
      <c r="H422" s="3">
        <v>500000</v>
      </c>
      <c r="J422" s="3">
        <v>500000</v>
      </c>
      <c r="L422" s="3">
        <v>1600000</v>
      </c>
      <c r="N422" s="3">
        <v>3200000</v>
      </c>
    </row>
    <row r="423" spans="4:14" x14ac:dyDescent="0.3">
      <c r="D423" s="3">
        <v>300000</v>
      </c>
      <c r="F423" s="3">
        <v>300000</v>
      </c>
      <c r="H423" s="3">
        <v>500000</v>
      </c>
      <c r="J423" s="3">
        <v>500000</v>
      </c>
      <c r="L423" s="3">
        <v>1600000</v>
      </c>
      <c r="N423" s="3">
        <v>3200000</v>
      </c>
    </row>
    <row r="424" spans="4:14" x14ac:dyDescent="0.3">
      <c r="D424" s="3">
        <v>300000</v>
      </c>
      <c r="F424" s="3">
        <v>300000</v>
      </c>
      <c r="H424" s="3">
        <v>500000</v>
      </c>
      <c r="J424" s="3">
        <v>500000</v>
      </c>
      <c r="L424" s="3">
        <v>1600000</v>
      </c>
      <c r="N424" s="3">
        <v>3200000</v>
      </c>
    </row>
    <row r="425" spans="4:14" x14ac:dyDescent="0.3">
      <c r="D425" s="3">
        <v>300000</v>
      </c>
      <c r="F425" s="3">
        <v>300000</v>
      </c>
      <c r="H425" s="3">
        <v>500000</v>
      </c>
      <c r="J425" s="3">
        <v>500000</v>
      </c>
      <c r="L425" s="3">
        <v>1600000</v>
      </c>
      <c r="N425" s="3">
        <v>3200000</v>
      </c>
    </row>
    <row r="426" spans="4:14" x14ac:dyDescent="0.3">
      <c r="D426" s="3">
        <v>300000</v>
      </c>
      <c r="F426" s="3">
        <v>300000</v>
      </c>
      <c r="H426" s="3">
        <v>500000</v>
      </c>
      <c r="J426" s="3">
        <v>500000</v>
      </c>
      <c r="L426" s="3">
        <v>1600000</v>
      </c>
      <c r="N426" s="3">
        <v>3200000</v>
      </c>
    </row>
    <row r="427" spans="4:14" x14ac:dyDescent="0.3">
      <c r="D427" s="3">
        <v>300000</v>
      </c>
      <c r="F427" s="3">
        <v>300000</v>
      </c>
      <c r="H427" s="3">
        <v>500000</v>
      </c>
      <c r="J427" s="3">
        <v>500000</v>
      </c>
      <c r="L427" s="3">
        <v>1600000</v>
      </c>
      <c r="N427" s="3">
        <v>3200000</v>
      </c>
    </row>
    <row r="428" spans="4:14" x14ac:dyDescent="0.3">
      <c r="D428" s="3">
        <v>300000</v>
      </c>
      <c r="F428" s="3">
        <v>300000</v>
      </c>
      <c r="H428" s="3">
        <v>500000</v>
      </c>
      <c r="J428" s="3">
        <v>500000</v>
      </c>
      <c r="L428" s="3">
        <v>1600000</v>
      </c>
      <c r="N428" s="3">
        <v>3200000</v>
      </c>
    </row>
    <row r="429" spans="4:14" x14ac:dyDescent="0.3">
      <c r="D429" s="3">
        <v>300000</v>
      </c>
      <c r="F429" s="3">
        <v>300000</v>
      </c>
      <c r="H429" s="3">
        <v>500000</v>
      </c>
      <c r="J429" s="3">
        <v>500000</v>
      </c>
      <c r="L429" s="3">
        <v>1600000</v>
      </c>
      <c r="N429" s="3">
        <v>3200000</v>
      </c>
    </row>
    <row r="430" spans="4:14" x14ac:dyDescent="0.3">
      <c r="D430" s="3">
        <v>300000</v>
      </c>
      <c r="F430" s="3">
        <v>300000</v>
      </c>
      <c r="H430" s="3">
        <v>500000</v>
      </c>
      <c r="J430" s="3">
        <v>500000</v>
      </c>
      <c r="L430" s="3">
        <v>1600000</v>
      </c>
      <c r="N430" s="3">
        <v>3200000</v>
      </c>
    </row>
    <row r="431" spans="4:14" x14ac:dyDescent="0.3">
      <c r="D431" s="3">
        <v>300000</v>
      </c>
      <c r="F431" s="3">
        <v>300000</v>
      </c>
      <c r="H431" s="3">
        <v>500000</v>
      </c>
      <c r="J431" s="3">
        <v>500000</v>
      </c>
      <c r="L431" s="3">
        <v>1600000</v>
      </c>
      <c r="N431" s="3">
        <v>3200000</v>
      </c>
    </row>
    <row r="432" spans="4:14" x14ac:dyDescent="0.3">
      <c r="D432" s="3">
        <v>300000</v>
      </c>
      <c r="F432" s="3">
        <v>300000</v>
      </c>
      <c r="H432" s="3">
        <v>500000</v>
      </c>
      <c r="J432" s="3">
        <v>500000</v>
      </c>
      <c r="L432" s="3">
        <v>1600000</v>
      </c>
      <c r="N432" s="3">
        <v>3200000</v>
      </c>
    </row>
    <row r="433" spans="4:14" x14ac:dyDescent="0.3">
      <c r="D433" s="3">
        <v>300000</v>
      </c>
      <c r="F433" s="3">
        <v>300000</v>
      </c>
      <c r="H433" s="3">
        <v>500000</v>
      </c>
      <c r="J433" s="3">
        <v>500000</v>
      </c>
      <c r="L433" s="3">
        <v>1600000</v>
      </c>
      <c r="N433" s="3">
        <v>3200000</v>
      </c>
    </row>
    <row r="434" spans="4:14" x14ac:dyDescent="0.3">
      <c r="D434" s="3">
        <v>300000</v>
      </c>
      <c r="F434" s="3">
        <v>300000</v>
      </c>
      <c r="H434" s="3">
        <v>500000</v>
      </c>
      <c r="J434" s="3">
        <v>500000</v>
      </c>
      <c r="L434" s="3">
        <v>1600000</v>
      </c>
      <c r="N434" s="3">
        <v>3200000</v>
      </c>
    </row>
    <row r="435" spans="4:14" x14ac:dyDescent="0.3">
      <c r="D435" s="3">
        <v>300000</v>
      </c>
      <c r="F435" s="3">
        <v>300000</v>
      </c>
      <c r="H435" s="3">
        <v>500000</v>
      </c>
      <c r="J435" s="3">
        <v>500000</v>
      </c>
      <c r="L435" s="3">
        <v>1600000</v>
      </c>
      <c r="N435" s="3">
        <v>3200000</v>
      </c>
    </row>
    <row r="436" spans="4:14" x14ac:dyDescent="0.3">
      <c r="D436" s="3">
        <v>300000</v>
      </c>
      <c r="F436" s="3">
        <v>300000</v>
      </c>
      <c r="H436" s="3">
        <v>500000</v>
      </c>
      <c r="J436" s="3">
        <v>500000</v>
      </c>
      <c r="L436" s="3">
        <v>1600000</v>
      </c>
      <c r="N436" s="3">
        <v>3200000</v>
      </c>
    </row>
    <row r="437" spans="4:14" x14ac:dyDescent="0.3">
      <c r="D437" s="3">
        <v>300000</v>
      </c>
      <c r="F437" s="3">
        <v>300000</v>
      </c>
      <c r="H437" s="3">
        <v>500000</v>
      </c>
      <c r="J437" s="3">
        <v>500000</v>
      </c>
      <c r="L437" s="3">
        <v>1600000</v>
      </c>
      <c r="N437" s="3">
        <v>3200000</v>
      </c>
    </row>
    <row r="438" spans="4:14" x14ac:dyDescent="0.3">
      <c r="D438" s="3">
        <v>300000</v>
      </c>
      <c r="F438" s="3">
        <v>300000</v>
      </c>
      <c r="H438" s="3">
        <v>500000</v>
      </c>
      <c r="J438" s="3">
        <v>500000</v>
      </c>
      <c r="L438" s="3">
        <v>1600000</v>
      </c>
      <c r="N438" s="3">
        <v>3200000</v>
      </c>
    </row>
    <row r="439" spans="4:14" x14ac:dyDescent="0.3">
      <c r="D439" s="3">
        <v>300000</v>
      </c>
      <c r="F439" s="3">
        <v>300000</v>
      </c>
      <c r="H439" s="3">
        <v>500000</v>
      </c>
      <c r="J439" s="3">
        <v>500000</v>
      </c>
      <c r="L439" s="3">
        <v>1600000</v>
      </c>
      <c r="N439" s="3">
        <v>3200000</v>
      </c>
    </row>
    <row r="440" spans="4:14" x14ac:dyDescent="0.3">
      <c r="D440" s="3">
        <v>300000</v>
      </c>
      <c r="F440" s="3">
        <v>300000</v>
      </c>
      <c r="H440" s="3">
        <v>500000</v>
      </c>
      <c r="J440" s="3">
        <v>500000</v>
      </c>
      <c r="L440" s="3">
        <v>1600000</v>
      </c>
      <c r="N440" s="3">
        <v>3200000</v>
      </c>
    </row>
    <row r="441" spans="4:14" x14ac:dyDescent="0.3">
      <c r="D441" s="3">
        <v>300000</v>
      </c>
      <c r="F441" s="3">
        <v>300000</v>
      </c>
      <c r="H441" s="3">
        <v>500000</v>
      </c>
      <c r="J441" s="3">
        <v>500000</v>
      </c>
      <c r="L441" s="3">
        <v>1600000</v>
      </c>
      <c r="N441" s="3">
        <v>3200000</v>
      </c>
    </row>
    <row r="442" spans="4:14" x14ac:dyDescent="0.3">
      <c r="D442" s="3">
        <v>300000</v>
      </c>
      <c r="F442" s="3">
        <v>300000</v>
      </c>
      <c r="H442" s="3">
        <v>500000</v>
      </c>
      <c r="J442" s="3">
        <v>500000</v>
      </c>
      <c r="L442" s="3">
        <v>1600000</v>
      </c>
      <c r="N442" s="3">
        <v>3200000</v>
      </c>
    </row>
    <row r="443" spans="4:14" x14ac:dyDescent="0.3">
      <c r="D443" s="3">
        <v>300000</v>
      </c>
      <c r="F443" s="3">
        <v>300000</v>
      </c>
      <c r="H443" s="3">
        <v>500000</v>
      </c>
      <c r="J443" s="3">
        <v>500000</v>
      </c>
      <c r="L443" s="3">
        <v>1600000</v>
      </c>
      <c r="N443" s="3">
        <v>3200000</v>
      </c>
    </row>
    <row r="444" spans="4:14" x14ac:dyDescent="0.3">
      <c r="D444" s="3">
        <v>300000</v>
      </c>
      <c r="F444" s="3">
        <v>300000</v>
      </c>
      <c r="H444" s="3">
        <v>500000</v>
      </c>
      <c r="J444" s="3">
        <v>500000</v>
      </c>
      <c r="L444" s="3">
        <v>1600000</v>
      </c>
      <c r="N444" s="3">
        <v>3200000</v>
      </c>
    </row>
    <row r="445" spans="4:14" x14ac:dyDescent="0.3">
      <c r="D445" s="3">
        <v>300000</v>
      </c>
      <c r="F445" s="3">
        <v>300000</v>
      </c>
      <c r="H445" s="3">
        <v>500000</v>
      </c>
      <c r="J445" s="3">
        <v>500000</v>
      </c>
      <c r="L445" s="3">
        <v>1600000</v>
      </c>
      <c r="N445" s="3">
        <v>3200000</v>
      </c>
    </row>
    <row r="446" spans="4:14" x14ac:dyDescent="0.3">
      <c r="D446" s="3">
        <v>300000</v>
      </c>
      <c r="F446" s="3">
        <v>300000</v>
      </c>
      <c r="H446" s="3">
        <v>500000</v>
      </c>
      <c r="J446" s="3">
        <v>500000</v>
      </c>
      <c r="L446" s="3">
        <v>1600000</v>
      </c>
      <c r="N446" s="3">
        <v>3200000</v>
      </c>
    </row>
    <row r="447" spans="4:14" x14ac:dyDescent="0.3">
      <c r="D447" s="3">
        <v>300000</v>
      </c>
      <c r="F447" s="3">
        <v>300000</v>
      </c>
      <c r="H447" s="3">
        <v>500000</v>
      </c>
      <c r="J447" s="3">
        <v>500000</v>
      </c>
      <c r="L447" s="3">
        <v>1600000</v>
      </c>
      <c r="N447" s="3">
        <v>3200000</v>
      </c>
    </row>
    <row r="448" spans="4:14" x14ac:dyDescent="0.3">
      <c r="D448" s="3">
        <v>300000</v>
      </c>
      <c r="F448" s="3">
        <v>300000</v>
      </c>
      <c r="H448" s="3">
        <v>500000</v>
      </c>
      <c r="J448" s="3">
        <v>500000</v>
      </c>
      <c r="L448" s="3">
        <v>1600000</v>
      </c>
      <c r="N448" s="3">
        <v>3200000</v>
      </c>
    </row>
    <row r="449" spans="4:14" x14ac:dyDescent="0.3">
      <c r="D449" s="3">
        <v>300000</v>
      </c>
      <c r="F449" s="3">
        <v>300000</v>
      </c>
      <c r="H449" s="3">
        <v>500000</v>
      </c>
      <c r="J449" s="3">
        <v>500000</v>
      </c>
      <c r="L449" s="3">
        <v>1600000</v>
      </c>
      <c r="N449" s="3">
        <v>3200000</v>
      </c>
    </row>
    <row r="450" spans="4:14" x14ac:dyDescent="0.3">
      <c r="D450" s="3">
        <v>300000</v>
      </c>
      <c r="F450" s="3">
        <v>300000</v>
      </c>
      <c r="H450" s="3">
        <v>500000</v>
      </c>
      <c r="J450" s="3">
        <v>500000</v>
      </c>
      <c r="L450" s="3">
        <v>1600000</v>
      </c>
      <c r="N450" s="3">
        <v>3200000</v>
      </c>
    </row>
    <row r="451" spans="4:14" x14ac:dyDescent="0.3">
      <c r="D451" s="3">
        <v>300000</v>
      </c>
      <c r="F451" s="3">
        <v>300000</v>
      </c>
      <c r="H451" s="3">
        <v>500000</v>
      </c>
      <c r="J451" s="3">
        <v>500000</v>
      </c>
      <c r="L451" s="3">
        <v>1600000</v>
      </c>
      <c r="N451" s="3">
        <v>3200000</v>
      </c>
    </row>
    <row r="452" spans="4:14" x14ac:dyDescent="0.3">
      <c r="D452" s="3">
        <v>300000</v>
      </c>
      <c r="F452" s="3">
        <v>300000</v>
      </c>
      <c r="H452" s="3">
        <v>500000</v>
      </c>
      <c r="J452" s="3">
        <v>500000</v>
      </c>
      <c r="L452" s="3">
        <v>1600000</v>
      </c>
      <c r="N452" s="3">
        <v>3200000</v>
      </c>
    </row>
    <row r="453" spans="4:14" x14ac:dyDescent="0.3">
      <c r="D453" s="3">
        <v>300000</v>
      </c>
      <c r="F453" s="3">
        <v>300000</v>
      </c>
      <c r="H453" s="3">
        <v>500000</v>
      </c>
      <c r="J453" s="3">
        <v>500000</v>
      </c>
      <c r="L453" s="3">
        <v>1600000</v>
      </c>
      <c r="N453" s="3">
        <v>3200000</v>
      </c>
    </row>
    <row r="454" spans="4:14" x14ac:dyDescent="0.3">
      <c r="D454" s="3">
        <v>300000</v>
      </c>
      <c r="F454" s="3">
        <v>300000</v>
      </c>
      <c r="H454" s="3">
        <v>500000</v>
      </c>
      <c r="J454" s="3">
        <v>500000</v>
      </c>
      <c r="L454" s="3">
        <v>1600000</v>
      </c>
      <c r="N454" s="3">
        <v>3200000</v>
      </c>
    </row>
    <row r="455" spans="4:14" x14ac:dyDescent="0.3">
      <c r="D455" s="3">
        <v>300000</v>
      </c>
      <c r="F455" s="3">
        <v>300000</v>
      </c>
      <c r="H455" s="3">
        <v>500000</v>
      </c>
      <c r="J455" s="3">
        <v>500000</v>
      </c>
      <c r="L455" s="3">
        <v>1600000</v>
      </c>
      <c r="N455" s="3">
        <v>3200000</v>
      </c>
    </row>
    <row r="456" spans="4:14" x14ac:dyDescent="0.3">
      <c r="D456" s="3">
        <v>300000</v>
      </c>
      <c r="F456" s="3">
        <v>300000</v>
      </c>
      <c r="H456" s="3">
        <v>500000</v>
      </c>
      <c r="J456" s="3">
        <v>500000</v>
      </c>
      <c r="L456" s="3">
        <v>1600000</v>
      </c>
      <c r="N456" s="3">
        <v>3200000</v>
      </c>
    </row>
    <row r="457" spans="4:14" x14ac:dyDescent="0.3">
      <c r="D457" s="3">
        <v>300000</v>
      </c>
      <c r="F457" s="3">
        <v>300000</v>
      </c>
      <c r="H457" s="3">
        <v>500000</v>
      </c>
      <c r="J457" s="3">
        <v>500000</v>
      </c>
      <c r="L457" s="3">
        <v>1600000</v>
      </c>
      <c r="N457" s="3">
        <v>3200000</v>
      </c>
    </row>
    <row r="458" spans="4:14" x14ac:dyDescent="0.3">
      <c r="D458" s="3">
        <v>300000</v>
      </c>
      <c r="F458" s="3">
        <v>300000</v>
      </c>
      <c r="H458" s="3">
        <v>500000</v>
      </c>
      <c r="J458" s="3">
        <v>500000</v>
      </c>
      <c r="L458" s="3">
        <v>1600000</v>
      </c>
      <c r="N458" s="3">
        <v>3200000</v>
      </c>
    </row>
    <row r="459" spans="4:14" x14ac:dyDescent="0.3">
      <c r="D459" s="3">
        <v>300000</v>
      </c>
      <c r="F459" s="3">
        <v>300000</v>
      </c>
      <c r="H459" s="3">
        <v>500000</v>
      </c>
      <c r="J459" s="3">
        <v>500000</v>
      </c>
      <c r="L459" s="3">
        <v>1600000</v>
      </c>
      <c r="N459" s="3">
        <v>3200000</v>
      </c>
    </row>
    <row r="460" spans="4:14" x14ac:dyDescent="0.3">
      <c r="D460" s="3">
        <v>300000</v>
      </c>
      <c r="F460" s="3">
        <v>300000</v>
      </c>
      <c r="H460" s="3">
        <v>500000</v>
      </c>
      <c r="J460" s="3">
        <v>500000</v>
      </c>
      <c r="L460" s="3">
        <v>1600000</v>
      </c>
      <c r="N460" s="3">
        <v>3200000</v>
      </c>
    </row>
    <row r="461" spans="4:14" x14ac:dyDescent="0.3">
      <c r="D461" s="3">
        <v>300000</v>
      </c>
      <c r="F461" s="3">
        <v>300000</v>
      </c>
      <c r="H461" s="3">
        <v>500000</v>
      </c>
      <c r="J461" s="3">
        <v>500000</v>
      </c>
      <c r="L461" s="3">
        <v>1600000</v>
      </c>
      <c r="N461" s="3">
        <v>3200000</v>
      </c>
    </row>
    <row r="462" spans="4:14" x14ac:dyDescent="0.3">
      <c r="D462" s="3">
        <v>300000</v>
      </c>
      <c r="F462" s="3">
        <v>300000</v>
      </c>
      <c r="H462" s="3">
        <v>500000</v>
      </c>
      <c r="J462" s="3">
        <v>500000</v>
      </c>
      <c r="L462" s="3">
        <v>1600000</v>
      </c>
      <c r="N462" s="3">
        <v>3200000</v>
      </c>
    </row>
    <row r="463" spans="4:14" x14ac:dyDescent="0.3">
      <c r="D463" s="3">
        <v>300000</v>
      </c>
      <c r="F463" s="3">
        <v>300000</v>
      </c>
      <c r="H463" s="3">
        <v>500000</v>
      </c>
      <c r="J463" s="3">
        <v>500000</v>
      </c>
      <c r="L463" s="3">
        <v>1600000</v>
      </c>
      <c r="N463" s="3">
        <v>3200000</v>
      </c>
    </row>
    <row r="464" spans="4:14" x14ac:dyDescent="0.3">
      <c r="D464" s="3">
        <v>300000</v>
      </c>
      <c r="F464" s="3">
        <v>300000</v>
      </c>
      <c r="H464" s="3">
        <v>500000</v>
      </c>
      <c r="J464" s="3">
        <v>500000</v>
      </c>
      <c r="L464" s="3">
        <v>1600000</v>
      </c>
      <c r="N464" s="3">
        <v>3200000</v>
      </c>
    </row>
    <row r="465" spans="4:14" x14ac:dyDescent="0.3">
      <c r="D465" s="3">
        <v>300000</v>
      </c>
      <c r="F465" s="3">
        <v>300000</v>
      </c>
      <c r="H465" s="3">
        <v>500000</v>
      </c>
      <c r="J465" s="3">
        <v>500000</v>
      </c>
      <c r="L465" s="3">
        <v>1600000</v>
      </c>
      <c r="N465" s="3">
        <v>3200000</v>
      </c>
    </row>
    <row r="466" spans="4:14" x14ac:dyDescent="0.3">
      <c r="D466" s="3">
        <v>300000</v>
      </c>
      <c r="F466" s="3">
        <v>300000</v>
      </c>
      <c r="H466" s="3">
        <v>500000</v>
      </c>
      <c r="J466" s="3">
        <v>500000</v>
      </c>
      <c r="L466" s="3">
        <v>1600000</v>
      </c>
      <c r="N466" s="3">
        <v>3200000</v>
      </c>
    </row>
    <row r="467" spans="4:14" x14ac:dyDescent="0.3">
      <c r="D467" s="3">
        <v>300000</v>
      </c>
      <c r="F467" s="3">
        <v>300000</v>
      </c>
      <c r="H467" s="3">
        <v>500000</v>
      </c>
      <c r="J467" s="3">
        <v>500000</v>
      </c>
      <c r="L467" s="3">
        <v>1600000</v>
      </c>
      <c r="N467" s="3">
        <v>3200000</v>
      </c>
    </row>
    <row r="468" spans="4:14" x14ac:dyDescent="0.3">
      <c r="D468" s="3">
        <v>300000</v>
      </c>
      <c r="F468" s="3">
        <v>300000</v>
      </c>
      <c r="H468" s="3">
        <v>500000</v>
      </c>
      <c r="J468" s="3">
        <v>500000</v>
      </c>
      <c r="L468" s="3">
        <v>1600000</v>
      </c>
      <c r="N468" s="3">
        <v>3200000</v>
      </c>
    </row>
    <row r="469" spans="4:14" x14ac:dyDescent="0.3">
      <c r="D469" s="3">
        <v>300000</v>
      </c>
      <c r="F469" s="3">
        <v>300000</v>
      </c>
      <c r="H469" s="3">
        <v>500000</v>
      </c>
      <c r="J469" s="3">
        <v>500000</v>
      </c>
      <c r="L469" s="3">
        <v>1600000</v>
      </c>
      <c r="N469" s="3">
        <v>3200000</v>
      </c>
    </row>
    <row r="470" spans="4:14" x14ac:dyDescent="0.3">
      <c r="D470" s="3">
        <v>300000</v>
      </c>
      <c r="F470" s="3">
        <v>300000</v>
      </c>
      <c r="H470" s="3">
        <v>500000</v>
      </c>
      <c r="J470" s="3">
        <v>500000</v>
      </c>
      <c r="L470" s="3">
        <v>1600000</v>
      </c>
      <c r="N470" s="3">
        <v>3200000</v>
      </c>
    </row>
    <row r="471" spans="4:14" x14ac:dyDescent="0.3">
      <c r="D471" s="3">
        <v>300000</v>
      </c>
      <c r="F471" s="3">
        <v>300000</v>
      </c>
      <c r="H471" s="3">
        <v>500000</v>
      </c>
      <c r="J471" s="3">
        <v>500000</v>
      </c>
      <c r="L471" s="3">
        <v>1600000</v>
      </c>
      <c r="N471" s="3">
        <v>3200000</v>
      </c>
    </row>
    <row r="472" spans="4:14" x14ac:dyDescent="0.3">
      <c r="D472" s="3">
        <v>300000</v>
      </c>
      <c r="F472" s="3">
        <v>300000</v>
      </c>
      <c r="H472" s="3">
        <v>500000</v>
      </c>
      <c r="J472" s="3">
        <v>500000</v>
      </c>
      <c r="L472" s="3">
        <v>1600000</v>
      </c>
      <c r="N472" s="3">
        <v>3200000</v>
      </c>
    </row>
    <row r="473" spans="4:14" x14ac:dyDescent="0.3">
      <c r="D473" s="3">
        <v>300000</v>
      </c>
      <c r="F473" s="3">
        <v>300000</v>
      </c>
      <c r="H473" s="3">
        <v>500000</v>
      </c>
      <c r="J473" s="3">
        <v>500000</v>
      </c>
      <c r="L473" s="3">
        <v>1600000</v>
      </c>
      <c r="N473" s="3">
        <v>3200000</v>
      </c>
    </row>
    <row r="474" spans="4:14" x14ac:dyDescent="0.3">
      <c r="D474" s="3">
        <v>300000</v>
      </c>
      <c r="F474" s="3">
        <v>300000</v>
      </c>
      <c r="H474" s="3">
        <v>500000</v>
      </c>
      <c r="J474" s="3">
        <v>500000</v>
      </c>
      <c r="L474" s="3">
        <v>1600000</v>
      </c>
      <c r="N474" s="3">
        <v>3200000</v>
      </c>
    </row>
    <row r="475" spans="4:14" x14ac:dyDescent="0.3">
      <c r="D475" s="3">
        <v>300000</v>
      </c>
      <c r="F475" s="3">
        <v>300000</v>
      </c>
      <c r="H475" s="3">
        <v>500000</v>
      </c>
      <c r="J475" s="3">
        <v>500000</v>
      </c>
      <c r="L475" s="3">
        <v>1600000</v>
      </c>
      <c r="N475" s="3">
        <v>3200000</v>
      </c>
    </row>
    <row r="476" spans="4:14" x14ac:dyDescent="0.3">
      <c r="D476" s="3">
        <v>300000</v>
      </c>
      <c r="F476" s="3">
        <v>300000</v>
      </c>
      <c r="H476" s="3">
        <v>500000</v>
      </c>
      <c r="J476" s="3">
        <v>500000</v>
      </c>
      <c r="L476" s="3">
        <v>1600000</v>
      </c>
      <c r="N476" s="3">
        <v>3200000</v>
      </c>
    </row>
    <row r="477" spans="4:14" x14ac:dyDescent="0.3">
      <c r="D477" s="3">
        <v>300000</v>
      </c>
      <c r="F477" s="3">
        <v>300000</v>
      </c>
      <c r="H477" s="3">
        <v>500000</v>
      </c>
      <c r="J477" s="3">
        <v>500000</v>
      </c>
      <c r="L477" s="3">
        <v>1600000</v>
      </c>
      <c r="N477" s="3">
        <v>3200000</v>
      </c>
    </row>
    <row r="478" spans="4:14" x14ac:dyDescent="0.3">
      <c r="D478" s="3">
        <v>300000</v>
      </c>
      <c r="F478" s="3">
        <v>300000</v>
      </c>
      <c r="H478" s="3">
        <v>500000</v>
      </c>
      <c r="J478" s="3">
        <v>500000</v>
      </c>
      <c r="L478" s="3">
        <v>1600000</v>
      </c>
      <c r="N478" s="3">
        <v>3200000</v>
      </c>
    </row>
    <row r="479" spans="4:14" x14ac:dyDescent="0.3">
      <c r="D479" s="3">
        <v>300000</v>
      </c>
      <c r="F479" s="3">
        <v>300000</v>
      </c>
      <c r="H479" s="3">
        <v>500000</v>
      </c>
      <c r="J479" s="3">
        <v>500000</v>
      </c>
      <c r="L479" s="3">
        <v>1600000</v>
      </c>
      <c r="N479" s="3">
        <v>3200000</v>
      </c>
    </row>
    <row r="480" spans="4:14" x14ac:dyDescent="0.3">
      <c r="D480" s="3">
        <v>300000</v>
      </c>
      <c r="F480" s="3">
        <v>300000</v>
      </c>
      <c r="H480" s="3">
        <v>500000</v>
      </c>
      <c r="J480" s="3">
        <v>500000</v>
      </c>
      <c r="L480" s="3">
        <v>1600000</v>
      </c>
      <c r="N480" s="3">
        <v>3200000</v>
      </c>
    </row>
    <row r="481" spans="4:14" x14ac:dyDescent="0.3">
      <c r="D481" s="3">
        <v>300000</v>
      </c>
      <c r="F481" s="3">
        <v>300000</v>
      </c>
      <c r="H481" s="3">
        <v>500000</v>
      </c>
      <c r="J481" s="3">
        <v>500000</v>
      </c>
      <c r="L481" s="3">
        <v>1600000</v>
      </c>
      <c r="N481" s="3">
        <v>3200000</v>
      </c>
    </row>
    <row r="482" spans="4:14" x14ac:dyDescent="0.3">
      <c r="D482" s="3">
        <v>300000</v>
      </c>
      <c r="F482" s="3">
        <v>300000</v>
      </c>
      <c r="H482" s="3">
        <v>500000</v>
      </c>
      <c r="J482" s="3">
        <v>500000</v>
      </c>
      <c r="L482" s="3">
        <v>1600000</v>
      </c>
      <c r="N482" s="3">
        <v>3200000</v>
      </c>
    </row>
    <row r="483" spans="4:14" x14ac:dyDescent="0.3">
      <c r="D483" s="3">
        <v>300000</v>
      </c>
      <c r="F483" s="3">
        <v>300000</v>
      </c>
      <c r="H483" s="3">
        <v>500000</v>
      </c>
      <c r="J483" s="3">
        <v>500000</v>
      </c>
      <c r="L483" s="3">
        <v>1600000</v>
      </c>
      <c r="N483" s="3">
        <v>3200000</v>
      </c>
    </row>
    <row r="484" spans="4:14" x14ac:dyDescent="0.3">
      <c r="D484" s="3">
        <v>300000</v>
      </c>
      <c r="F484" s="3">
        <v>300000</v>
      </c>
      <c r="H484" s="3">
        <v>500000</v>
      </c>
      <c r="J484" s="3">
        <v>500000</v>
      </c>
      <c r="L484" s="3">
        <v>1600000</v>
      </c>
      <c r="N484" s="3">
        <v>3200000</v>
      </c>
    </row>
    <row r="485" spans="4:14" x14ac:dyDescent="0.3">
      <c r="D485" s="3">
        <v>300000</v>
      </c>
      <c r="F485" s="3">
        <v>300000</v>
      </c>
      <c r="H485" s="3">
        <v>500000</v>
      </c>
      <c r="J485" s="3">
        <v>500000</v>
      </c>
      <c r="L485" s="3">
        <v>1600000</v>
      </c>
      <c r="N485" s="3">
        <v>3200000</v>
      </c>
    </row>
    <row r="486" spans="4:14" x14ac:dyDescent="0.3">
      <c r="D486" s="3">
        <v>300000</v>
      </c>
      <c r="F486" s="3">
        <v>300000</v>
      </c>
      <c r="H486" s="3">
        <v>500000</v>
      </c>
      <c r="J486" s="3">
        <v>500000</v>
      </c>
      <c r="L486" s="3">
        <v>1600000</v>
      </c>
      <c r="N486" s="3">
        <v>3200000</v>
      </c>
    </row>
    <row r="487" spans="4:14" x14ac:dyDescent="0.3">
      <c r="D487" s="3">
        <v>300000</v>
      </c>
      <c r="F487" s="3">
        <v>300000</v>
      </c>
      <c r="H487" s="3">
        <v>500000</v>
      </c>
      <c r="J487" s="3">
        <v>500000</v>
      </c>
      <c r="L487" s="3">
        <v>1600000</v>
      </c>
      <c r="N487" s="3">
        <v>3200000</v>
      </c>
    </row>
    <row r="488" spans="4:14" x14ac:dyDescent="0.3">
      <c r="D488" s="3">
        <v>300000</v>
      </c>
      <c r="F488" s="3">
        <v>300000</v>
      </c>
      <c r="H488" s="3">
        <v>500000</v>
      </c>
      <c r="J488" s="3">
        <v>500000</v>
      </c>
      <c r="L488" s="3">
        <v>1600000</v>
      </c>
      <c r="N488" s="3">
        <v>3200000</v>
      </c>
    </row>
    <row r="489" spans="4:14" x14ac:dyDescent="0.3">
      <c r="D489" s="3">
        <v>300000</v>
      </c>
      <c r="F489" s="3">
        <v>300000</v>
      </c>
      <c r="H489" s="3">
        <v>500000</v>
      </c>
      <c r="J489" s="3">
        <v>500000</v>
      </c>
      <c r="L489" s="3">
        <v>1600000</v>
      </c>
      <c r="N489" s="3">
        <v>3200000</v>
      </c>
    </row>
    <row r="490" spans="4:14" x14ac:dyDescent="0.3">
      <c r="D490" s="3">
        <v>300000</v>
      </c>
      <c r="F490" s="3">
        <v>300000</v>
      </c>
      <c r="H490" s="3">
        <v>500000</v>
      </c>
      <c r="J490" s="3">
        <v>500000</v>
      </c>
      <c r="L490" s="3">
        <v>1600000</v>
      </c>
      <c r="N490" s="3">
        <v>3200000</v>
      </c>
    </row>
    <row r="491" spans="4:14" x14ac:dyDescent="0.3">
      <c r="D491" s="3">
        <v>300000</v>
      </c>
      <c r="F491" s="3">
        <v>300000</v>
      </c>
      <c r="H491" s="3">
        <v>500000</v>
      </c>
      <c r="J491" s="3">
        <v>500000</v>
      </c>
      <c r="L491" s="3">
        <v>1600000</v>
      </c>
      <c r="N491" s="3">
        <v>3200000</v>
      </c>
    </row>
    <row r="492" spans="4:14" x14ac:dyDescent="0.3">
      <c r="D492" s="3">
        <v>300000</v>
      </c>
      <c r="F492" s="3">
        <v>300000</v>
      </c>
      <c r="H492" s="3">
        <v>500000</v>
      </c>
      <c r="J492" s="3">
        <v>500000</v>
      </c>
      <c r="L492" s="3">
        <v>1600000</v>
      </c>
      <c r="N492" s="3">
        <v>3200000</v>
      </c>
    </row>
    <row r="493" spans="4:14" x14ac:dyDescent="0.3">
      <c r="D493" s="3">
        <v>300000</v>
      </c>
      <c r="F493" s="3">
        <v>300000</v>
      </c>
      <c r="H493" s="3">
        <v>500000</v>
      </c>
      <c r="J493" s="3">
        <v>500000</v>
      </c>
      <c r="L493" s="3">
        <v>1600000</v>
      </c>
      <c r="N493" s="3">
        <v>3200000</v>
      </c>
    </row>
    <row r="494" spans="4:14" x14ac:dyDescent="0.3">
      <c r="D494" s="3">
        <v>300000</v>
      </c>
      <c r="F494" s="3">
        <v>300000</v>
      </c>
      <c r="H494" s="3">
        <v>500000</v>
      </c>
      <c r="J494" s="3">
        <v>500000</v>
      </c>
      <c r="L494" s="3">
        <v>1600000</v>
      </c>
      <c r="N494" s="3">
        <v>3200000</v>
      </c>
    </row>
    <row r="495" spans="4:14" x14ac:dyDescent="0.3">
      <c r="D495" s="3">
        <v>300000</v>
      </c>
      <c r="F495" s="3">
        <v>300000</v>
      </c>
      <c r="H495" s="3">
        <v>500000</v>
      </c>
      <c r="J495" s="3">
        <v>500000</v>
      </c>
      <c r="L495" s="3">
        <v>1600000</v>
      </c>
      <c r="N495" s="3">
        <v>3200000</v>
      </c>
    </row>
    <row r="496" spans="4:14" x14ac:dyDescent="0.3">
      <c r="D496" s="3">
        <v>300000</v>
      </c>
      <c r="F496" s="3">
        <v>300000</v>
      </c>
      <c r="H496" s="3">
        <v>500000</v>
      </c>
      <c r="J496" s="3">
        <v>500000</v>
      </c>
      <c r="L496" s="3">
        <v>1600000</v>
      </c>
      <c r="N496" s="3">
        <v>3200000</v>
      </c>
    </row>
    <row r="497" spans="4:14" x14ac:dyDescent="0.3">
      <c r="D497" s="3">
        <v>300000</v>
      </c>
      <c r="F497" s="3">
        <v>300000</v>
      </c>
      <c r="H497" s="3">
        <v>500000</v>
      </c>
      <c r="J497" s="3">
        <v>500000</v>
      </c>
      <c r="L497" s="3">
        <v>1600000</v>
      </c>
      <c r="N497" s="3">
        <v>3200000</v>
      </c>
    </row>
    <row r="498" spans="4:14" x14ac:dyDescent="0.3">
      <c r="D498" s="3">
        <v>300000</v>
      </c>
      <c r="F498" s="3">
        <v>300000</v>
      </c>
      <c r="H498" s="3">
        <v>500000</v>
      </c>
      <c r="J498" s="3">
        <v>500000</v>
      </c>
      <c r="L498" s="3">
        <v>1600000</v>
      </c>
      <c r="N498" s="3">
        <v>3200000</v>
      </c>
    </row>
    <row r="499" spans="4:14" x14ac:dyDescent="0.3">
      <c r="D499" s="3">
        <v>300000</v>
      </c>
      <c r="F499" s="3">
        <v>300000</v>
      </c>
      <c r="H499" s="3">
        <v>500000</v>
      </c>
      <c r="J499" s="3">
        <v>500000</v>
      </c>
      <c r="L499" s="3">
        <v>1600000</v>
      </c>
      <c r="N499" s="3">
        <v>3200000</v>
      </c>
    </row>
    <row r="500" spans="4:14" x14ac:dyDescent="0.3">
      <c r="D500" s="3">
        <v>300000</v>
      </c>
      <c r="F500" s="3">
        <v>300000</v>
      </c>
      <c r="H500" s="3">
        <v>500000</v>
      </c>
      <c r="J500" s="3">
        <v>500000</v>
      </c>
      <c r="L500" s="3">
        <v>1600000</v>
      </c>
      <c r="N500" s="3">
        <v>3200000</v>
      </c>
    </row>
    <row r="501" spans="4:14" x14ac:dyDescent="0.3">
      <c r="D501" s="3">
        <v>300000</v>
      </c>
      <c r="F501" s="3">
        <v>300000</v>
      </c>
      <c r="H501" s="3">
        <v>500000</v>
      </c>
      <c r="J501" s="3">
        <v>500000</v>
      </c>
      <c r="L501" s="3">
        <v>1600000</v>
      </c>
      <c r="N501" s="3">
        <v>3200000</v>
      </c>
    </row>
    <row r="502" spans="4:14" x14ac:dyDescent="0.3">
      <c r="D502" s="3">
        <v>300000</v>
      </c>
      <c r="F502" s="3">
        <v>300000</v>
      </c>
      <c r="H502" s="3">
        <v>500000</v>
      </c>
      <c r="J502" s="3">
        <v>500000</v>
      </c>
      <c r="L502" s="3">
        <v>1600000</v>
      </c>
      <c r="N502" s="3">
        <v>3200000</v>
      </c>
    </row>
    <row r="503" spans="4:14" x14ac:dyDescent="0.3">
      <c r="D503" s="3">
        <v>300000</v>
      </c>
      <c r="F503" s="3">
        <v>300000</v>
      </c>
      <c r="H503" s="3">
        <v>500000</v>
      </c>
      <c r="J503" s="3">
        <v>500000</v>
      </c>
      <c r="L503" s="3">
        <v>1600000</v>
      </c>
      <c r="N503" s="3">
        <v>3200000</v>
      </c>
    </row>
    <row r="504" spans="4:14" x14ac:dyDescent="0.3">
      <c r="D504" s="3">
        <v>300000</v>
      </c>
      <c r="F504" s="3">
        <v>300000</v>
      </c>
      <c r="H504" s="3">
        <v>500000</v>
      </c>
      <c r="J504" s="3">
        <v>500000</v>
      </c>
      <c r="L504" s="3">
        <v>1600000</v>
      </c>
      <c r="N504" s="3">
        <v>3200000</v>
      </c>
    </row>
    <row r="505" spans="4:14" x14ac:dyDescent="0.3">
      <c r="D505" s="3">
        <v>300000</v>
      </c>
      <c r="F505" s="3">
        <v>300000</v>
      </c>
      <c r="H505" s="3">
        <v>500000</v>
      </c>
      <c r="J505" s="3">
        <v>500000</v>
      </c>
      <c r="L505" s="3">
        <v>1600000</v>
      </c>
      <c r="N505" s="3">
        <v>3200000</v>
      </c>
    </row>
    <row r="506" spans="4:14" x14ac:dyDescent="0.3">
      <c r="D506" s="3">
        <v>300000</v>
      </c>
      <c r="F506" s="3">
        <v>300000</v>
      </c>
      <c r="H506" s="3">
        <v>500000</v>
      </c>
      <c r="J506" s="3">
        <v>500000</v>
      </c>
      <c r="L506" s="3">
        <v>1600000</v>
      </c>
      <c r="N506" s="3">
        <v>3200000</v>
      </c>
    </row>
    <row r="507" spans="4:14" x14ac:dyDescent="0.3">
      <c r="D507" s="3">
        <v>300000</v>
      </c>
      <c r="F507" s="3">
        <v>300000</v>
      </c>
      <c r="H507" s="3">
        <v>500000</v>
      </c>
      <c r="J507" s="3">
        <v>500000</v>
      </c>
      <c r="L507" s="3">
        <v>1600000</v>
      </c>
      <c r="N507" s="3">
        <v>3200000</v>
      </c>
    </row>
    <row r="508" spans="4:14" x14ac:dyDescent="0.3">
      <c r="D508" s="3">
        <v>300000</v>
      </c>
      <c r="F508" s="3">
        <v>300000</v>
      </c>
      <c r="H508" s="3">
        <v>500000</v>
      </c>
      <c r="J508" s="3">
        <v>500000</v>
      </c>
      <c r="L508" s="3">
        <v>1600000</v>
      </c>
      <c r="N508" s="3">
        <v>3200000</v>
      </c>
    </row>
    <row r="509" spans="4:14" x14ac:dyDescent="0.3">
      <c r="D509" s="3">
        <v>300000</v>
      </c>
      <c r="F509" s="3">
        <v>300000</v>
      </c>
      <c r="H509" s="3">
        <v>500000</v>
      </c>
      <c r="J509" s="3">
        <v>500000</v>
      </c>
      <c r="L509" s="3">
        <v>1600000</v>
      </c>
      <c r="N509" s="3">
        <v>3200000</v>
      </c>
    </row>
    <row r="510" spans="4:14" x14ac:dyDescent="0.3">
      <c r="D510" s="3">
        <v>300000</v>
      </c>
      <c r="F510" s="3">
        <v>300000</v>
      </c>
      <c r="H510" s="3">
        <v>500000</v>
      </c>
      <c r="J510" s="3">
        <v>500000</v>
      </c>
      <c r="L510" s="3">
        <v>1600000</v>
      </c>
      <c r="N510" s="3">
        <v>3200000</v>
      </c>
    </row>
    <row r="511" spans="4:14" x14ac:dyDescent="0.3">
      <c r="D511" s="3">
        <v>300000</v>
      </c>
      <c r="F511" s="3">
        <v>300000</v>
      </c>
      <c r="H511" s="3">
        <v>500000</v>
      </c>
      <c r="J511" s="3">
        <v>500000</v>
      </c>
      <c r="L511" s="3">
        <v>1600000</v>
      </c>
      <c r="N511" s="3">
        <v>3200000</v>
      </c>
    </row>
    <row r="512" spans="4:14" x14ac:dyDescent="0.3">
      <c r="D512" s="3">
        <v>300000</v>
      </c>
      <c r="F512" s="3">
        <v>300000</v>
      </c>
      <c r="H512" s="3">
        <v>500000</v>
      </c>
      <c r="J512" s="3">
        <v>500000</v>
      </c>
      <c r="L512" s="3">
        <v>1600000</v>
      </c>
      <c r="N512" s="3">
        <v>3200000</v>
      </c>
    </row>
    <row r="513" spans="4:14" x14ac:dyDescent="0.3">
      <c r="D513" s="3">
        <v>300000</v>
      </c>
      <c r="F513" s="3">
        <v>300000</v>
      </c>
      <c r="H513" s="3">
        <v>500000</v>
      </c>
      <c r="J513" s="3">
        <v>500000</v>
      </c>
      <c r="L513" s="3">
        <v>1600000</v>
      </c>
      <c r="N513" s="3">
        <v>3200000</v>
      </c>
    </row>
    <row r="514" spans="4:14" x14ac:dyDescent="0.3">
      <c r="D514" s="3">
        <v>300000</v>
      </c>
      <c r="F514" s="3">
        <v>300000</v>
      </c>
      <c r="H514" s="3">
        <v>500000</v>
      </c>
      <c r="J514" s="3">
        <v>500000</v>
      </c>
      <c r="L514" s="3">
        <v>1600000</v>
      </c>
      <c r="N514" s="3">
        <v>3200000</v>
      </c>
    </row>
    <row r="515" spans="4:14" x14ac:dyDescent="0.3">
      <c r="D515" s="3">
        <v>300000</v>
      </c>
      <c r="F515" s="3">
        <v>300000</v>
      </c>
      <c r="H515" s="3">
        <v>500000</v>
      </c>
      <c r="J515" s="3">
        <v>500000</v>
      </c>
      <c r="L515" s="3">
        <v>1600000</v>
      </c>
      <c r="N515" s="3">
        <v>3200000</v>
      </c>
    </row>
    <row r="516" spans="4:14" x14ac:dyDescent="0.3">
      <c r="D516" s="3">
        <v>300000</v>
      </c>
      <c r="F516" s="3">
        <v>300000</v>
      </c>
      <c r="H516" s="3">
        <v>500000</v>
      </c>
      <c r="J516" s="3">
        <v>500000</v>
      </c>
      <c r="L516" s="3">
        <v>1600000</v>
      </c>
      <c r="N516" s="3">
        <v>3200000</v>
      </c>
    </row>
    <row r="517" spans="4:14" x14ac:dyDescent="0.3">
      <c r="D517" s="3">
        <v>300000</v>
      </c>
      <c r="F517" s="3">
        <v>300000</v>
      </c>
      <c r="H517" s="3">
        <v>500000</v>
      </c>
      <c r="J517" s="3">
        <v>500000</v>
      </c>
      <c r="L517" s="3">
        <v>1600000</v>
      </c>
      <c r="N517" s="3">
        <v>3200000</v>
      </c>
    </row>
    <row r="518" spans="4:14" x14ac:dyDescent="0.3">
      <c r="D518" s="3">
        <v>300000</v>
      </c>
      <c r="F518" s="3">
        <v>300000</v>
      </c>
      <c r="H518" s="3">
        <v>500000</v>
      </c>
      <c r="J518" s="3">
        <v>500000</v>
      </c>
      <c r="L518" s="3">
        <v>1600000</v>
      </c>
      <c r="N518" s="3">
        <v>3200000</v>
      </c>
    </row>
    <row r="519" spans="4:14" x14ac:dyDescent="0.3">
      <c r="D519" s="3">
        <v>300000</v>
      </c>
      <c r="F519" s="3">
        <v>300000</v>
      </c>
      <c r="H519" s="3">
        <v>500000</v>
      </c>
      <c r="J519" s="3">
        <v>500000</v>
      </c>
      <c r="L519" s="3">
        <v>1600000</v>
      </c>
      <c r="N519" s="3">
        <v>3200000</v>
      </c>
    </row>
    <row r="520" spans="4:14" x14ac:dyDescent="0.3">
      <c r="D520" s="3">
        <v>300000</v>
      </c>
      <c r="F520" s="3">
        <v>300000</v>
      </c>
      <c r="H520" s="3">
        <v>500000</v>
      </c>
      <c r="J520" s="3">
        <v>500000</v>
      </c>
      <c r="L520" s="3">
        <v>1600000</v>
      </c>
      <c r="N520" s="3">
        <v>3200000</v>
      </c>
    </row>
    <row r="521" spans="4:14" x14ac:dyDescent="0.3">
      <c r="D521" s="3">
        <v>300000</v>
      </c>
      <c r="F521" s="3">
        <v>300000</v>
      </c>
      <c r="H521" s="3">
        <v>500000</v>
      </c>
      <c r="J521" s="3">
        <v>500000</v>
      </c>
      <c r="L521" s="3">
        <v>1600000</v>
      </c>
      <c r="N521" s="3">
        <v>3200000</v>
      </c>
    </row>
    <row r="522" spans="4:14" x14ac:dyDescent="0.3">
      <c r="D522" s="3">
        <v>300000</v>
      </c>
      <c r="F522" s="3">
        <v>300000</v>
      </c>
      <c r="H522" s="3">
        <v>500000</v>
      </c>
      <c r="J522" s="3">
        <v>500000</v>
      </c>
      <c r="L522" s="3">
        <v>1600000</v>
      </c>
      <c r="N522" s="3">
        <v>3200000</v>
      </c>
    </row>
    <row r="523" spans="4:14" x14ac:dyDescent="0.3">
      <c r="D523" s="3">
        <v>300000</v>
      </c>
      <c r="F523" s="3">
        <v>300000</v>
      </c>
      <c r="H523" s="3">
        <v>500000</v>
      </c>
      <c r="J523" s="3">
        <v>500000</v>
      </c>
      <c r="L523" s="3">
        <v>1600000</v>
      </c>
      <c r="N523" s="3">
        <v>3200000</v>
      </c>
    </row>
    <row r="524" spans="4:14" x14ac:dyDescent="0.3">
      <c r="D524" s="3">
        <v>300000</v>
      </c>
      <c r="F524" s="3">
        <v>300000</v>
      </c>
      <c r="H524" s="3">
        <v>500000</v>
      </c>
      <c r="J524" s="3">
        <v>500000</v>
      </c>
      <c r="L524" s="3">
        <v>1600000</v>
      </c>
      <c r="N524" s="3">
        <v>3200000</v>
      </c>
    </row>
    <row r="525" spans="4:14" x14ac:dyDescent="0.3">
      <c r="D525" s="3">
        <v>300000</v>
      </c>
      <c r="F525" s="3">
        <v>300000</v>
      </c>
      <c r="H525" s="3">
        <v>500000</v>
      </c>
      <c r="J525" s="3">
        <v>500000</v>
      </c>
      <c r="L525" s="3">
        <v>1600000</v>
      </c>
      <c r="N525" s="3">
        <v>3200000</v>
      </c>
    </row>
    <row r="526" spans="4:14" x14ac:dyDescent="0.3">
      <c r="D526" s="3">
        <v>300000</v>
      </c>
      <c r="F526" s="3">
        <v>300000</v>
      </c>
      <c r="H526" s="3">
        <v>500000</v>
      </c>
      <c r="J526" s="3">
        <v>500000</v>
      </c>
      <c r="L526" s="3">
        <v>1600000</v>
      </c>
      <c r="N526" s="3">
        <v>3200000</v>
      </c>
    </row>
    <row r="527" spans="4:14" x14ac:dyDescent="0.3">
      <c r="D527" s="3">
        <v>300000</v>
      </c>
      <c r="F527" s="3">
        <v>300000</v>
      </c>
      <c r="H527" s="3">
        <v>500000</v>
      </c>
      <c r="J527" s="3">
        <v>500000</v>
      </c>
      <c r="L527" s="3">
        <v>1600000</v>
      </c>
      <c r="N527" s="3">
        <v>3200000</v>
      </c>
    </row>
    <row r="528" spans="4:14" x14ac:dyDescent="0.3">
      <c r="D528" s="3">
        <v>300000</v>
      </c>
      <c r="F528" s="3">
        <v>300000</v>
      </c>
      <c r="H528" s="3">
        <v>500000</v>
      </c>
      <c r="J528" s="3">
        <v>500000</v>
      </c>
      <c r="L528" s="3">
        <v>1600000</v>
      </c>
      <c r="N528" s="3">
        <v>3200000</v>
      </c>
    </row>
    <row r="529" spans="4:14" x14ac:dyDescent="0.3">
      <c r="D529" s="3">
        <v>300000</v>
      </c>
      <c r="F529" s="3">
        <v>300000</v>
      </c>
      <c r="H529" s="3">
        <v>500000</v>
      </c>
      <c r="J529" s="3">
        <v>500000</v>
      </c>
      <c r="L529" s="3">
        <v>1600000</v>
      </c>
      <c r="N529" s="3">
        <v>3200000</v>
      </c>
    </row>
    <row r="530" spans="4:14" x14ac:dyDescent="0.3">
      <c r="D530" s="3">
        <v>300000</v>
      </c>
      <c r="F530" s="3">
        <v>300000</v>
      </c>
      <c r="H530" s="3">
        <v>500000</v>
      </c>
      <c r="J530" s="3">
        <v>500000</v>
      </c>
      <c r="L530" s="3">
        <v>1600000</v>
      </c>
      <c r="N530" s="3">
        <v>3200000</v>
      </c>
    </row>
    <row r="531" spans="4:14" x14ac:dyDescent="0.3">
      <c r="D531" s="3">
        <v>300000</v>
      </c>
      <c r="F531" s="3">
        <v>300000</v>
      </c>
      <c r="H531" s="3">
        <v>500000</v>
      </c>
      <c r="J531" s="3">
        <v>500000</v>
      </c>
      <c r="L531" s="3">
        <v>1600000</v>
      </c>
      <c r="N531" s="3">
        <v>3200000</v>
      </c>
    </row>
    <row r="532" spans="4:14" x14ac:dyDescent="0.3">
      <c r="D532" s="3">
        <v>300000</v>
      </c>
      <c r="F532" s="3">
        <v>300000</v>
      </c>
      <c r="H532" s="3">
        <v>500000</v>
      </c>
      <c r="J532" s="3">
        <v>500000</v>
      </c>
      <c r="L532" s="3">
        <v>1600000</v>
      </c>
      <c r="N532" s="3">
        <v>3200000</v>
      </c>
    </row>
    <row r="533" spans="4:14" x14ac:dyDescent="0.3">
      <c r="D533" s="3">
        <v>300000</v>
      </c>
      <c r="F533" s="3">
        <v>300000</v>
      </c>
      <c r="H533" s="3">
        <v>500000</v>
      </c>
      <c r="J533" s="3">
        <v>500000</v>
      </c>
      <c r="L533" s="3">
        <v>1600000</v>
      </c>
      <c r="N533" s="3">
        <v>3200000</v>
      </c>
    </row>
    <row r="534" spans="4:14" x14ac:dyDescent="0.3">
      <c r="D534" s="3">
        <v>300000</v>
      </c>
      <c r="F534" s="3">
        <v>300000</v>
      </c>
      <c r="H534" s="3">
        <v>500000</v>
      </c>
      <c r="J534" s="3">
        <v>500000</v>
      </c>
      <c r="L534" s="3">
        <v>1600000</v>
      </c>
      <c r="N534" s="3">
        <v>3200000</v>
      </c>
    </row>
    <row r="535" spans="4:14" x14ac:dyDescent="0.3">
      <c r="D535" s="3">
        <v>300000</v>
      </c>
      <c r="F535" s="3">
        <v>300000</v>
      </c>
      <c r="H535" s="3">
        <v>500000</v>
      </c>
      <c r="J535" s="3">
        <v>500000</v>
      </c>
      <c r="L535" s="3">
        <v>1600000</v>
      </c>
      <c r="N535" s="3">
        <v>3200000</v>
      </c>
    </row>
    <row r="536" spans="4:14" x14ac:dyDescent="0.3">
      <c r="D536" s="3">
        <v>300000</v>
      </c>
      <c r="F536" s="3">
        <v>300000</v>
      </c>
      <c r="H536" s="3">
        <v>500000</v>
      </c>
      <c r="J536" s="3">
        <v>500000</v>
      </c>
      <c r="L536" s="3">
        <v>1600000</v>
      </c>
      <c r="N536" s="3">
        <v>3200000</v>
      </c>
    </row>
    <row r="537" spans="4:14" x14ac:dyDescent="0.3">
      <c r="D537" s="3">
        <v>300000</v>
      </c>
      <c r="F537" s="3">
        <v>300000</v>
      </c>
      <c r="H537" s="3">
        <v>500000</v>
      </c>
      <c r="J537" s="3">
        <v>500000</v>
      </c>
      <c r="L537" s="3">
        <v>1600000</v>
      </c>
      <c r="N537" s="3">
        <v>3200000</v>
      </c>
    </row>
    <row r="538" spans="4:14" x14ac:dyDescent="0.3">
      <c r="D538" s="3">
        <v>300000</v>
      </c>
      <c r="F538" s="3">
        <v>300000</v>
      </c>
      <c r="H538" s="3">
        <v>500000</v>
      </c>
      <c r="J538" s="3">
        <v>500000</v>
      </c>
      <c r="L538" s="3">
        <v>1600000</v>
      </c>
      <c r="N538" s="3">
        <v>3200000</v>
      </c>
    </row>
    <row r="539" spans="4:14" x14ac:dyDescent="0.3">
      <c r="D539" s="3">
        <v>300000</v>
      </c>
      <c r="F539" s="3">
        <v>300000</v>
      </c>
      <c r="H539" s="3">
        <v>500000</v>
      </c>
      <c r="J539" s="3">
        <v>500000</v>
      </c>
      <c r="L539" s="3">
        <v>1600000</v>
      </c>
      <c r="N539" s="3">
        <v>3200000</v>
      </c>
    </row>
    <row r="540" spans="4:14" x14ac:dyDescent="0.3">
      <c r="D540" s="3">
        <v>300000</v>
      </c>
      <c r="F540" s="3">
        <v>300000</v>
      </c>
      <c r="H540" s="3">
        <v>500000</v>
      </c>
      <c r="J540" s="3">
        <v>500000</v>
      </c>
      <c r="L540" s="3">
        <v>1600000</v>
      </c>
      <c r="N540" s="3">
        <v>3200000</v>
      </c>
    </row>
    <row r="541" spans="4:14" x14ac:dyDescent="0.3">
      <c r="D541" s="3">
        <v>300000</v>
      </c>
      <c r="F541" s="3">
        <v>300000</v>
      </c>
      <c r="H541" s="3">
        <v>500000</v>
      </c>
      <c r="J541" s="3">
        <v>500000</v>
      </c>
      <c r="L541" s="3">
        <v>1600000</v>
      </c>
      <c r="N541" s="3">
        <v>3200000</v>
      </c>
    </row>
    <row r="542" spans="4:14" x14ac:dyDescent="0.3">
      <c r="D542" s="3">
        <v>300000</v>
      </c>
      <c r="F542" s="3">
        <v>300000</v>
      </c>
      <c r="H542" s="3">
        <v>500000</v>
      </c>
      <c r="J542" s="3">
        <v>500000</v>
      </c>
      <c r="L542" s="3">
        <v>1600000</v>
      </c>
      <c r="N542" s="3">
        <v>3200000</v>
      </c>
    </row>
    <row r="543" spans="4:14" x14ac:dyDescent="0.3">
      <c r="D543" s="3">
        <v>300000</v>
      </c>
      <c r="F543" s="3">
        <v>300000</v>
      </c>
      <c r="H543" s="3">
        <v>500000</v>
      </c>
      <c r="J543" s="3">
        <v>500000</v>
      </c>
      <c r="L543" s="3">
        <v>1600000</v>
      </c>
      <c r="N543" s="3">
        <v>3200000</v>
      </c>
    </row>
    <row r="544" spans="4:14" x14ac:dyDescent="0.3">
      <c r="D544" s="3">
        <v>300000</v>
      </c>
      <c r="F544" s="3">
        <v>300000</v>
      </c>
      <c r="H544" s="3">
        <v>500000</v>
      </c>
      <c r="J544" s="3">
        <v>500000</v>
      </c>
      <c r="L544" s="3">
        <v>1600000</v>
      </c>
      <c r="N544" s="3">
        <v>3200000</v>
      </c>
    </row>
    <row r="545" spans="4:14" x14ac:dyDescent="0.3">
      <c r="D545" s="3">
        <v>300000</v>
      </c>
      <c r="F545" s="3">
        <v>300000</v>
      </c>
      <c r="H545" s="3">
        <v>500000</v>
      </c>
      <c r="J545" s="3">
        <v>500000</v>
      </c>
      <c r="L545" s="3">
        <v>1600000</v>
      </c>
      <c r="N545" s="3">
        <v>3200000</v>
      </c>
    </row>
    <row r="546" spans="4:14" x14ac:dyDescent="0.3">
      <c r="D546" s="3">
        <v>300000</v>
      </c>
      <c r="F546" s="3">
        <v>300000</v>
      </c>
      <c r="H546" s="3">
        <v>500000</v>
      </c>
      <c r="J546" s="3">
        <v>500000</v>
      </c>
      <c r="L546" s="3">
        <v>1600000</v>
      </c>
      <c r="N546" s="3">
        <v>3200000</v>
      </c>
    </row>
    <row r="547" spans="4:14" x14ac:dyDescent="0.3">
      <c r="D547" s="3">
        <v>300000</v>
      </c>
      <c r="F547" s="3">
        <v>300000</v>
      </c>
      <c r="H547" s="3">
        <v>500000</v>
      </c>
      <c r="J547" s="3">
        <v>500000</v>
      </c>
      <c r="L547" s="3">
        <v>1600000</v>
      </c>
      <c r="N547" s="3">
        <v>3200000</v>
      </c>
    </row>
    <row r="548" spans="4:14" x14ac:dyDescent="0.3">
      <c r="D548" s="3">
        <v>300000</v>
      </c>
      <c r="F548" s="3">
        <v>300000</v>
      </c>
      <c r="H548" s="3">
        <v>500000</v>
      </c>
      <c r="J548" s="3">
        <v>500000</v>
      </c>
      <c r="L548" s="3">
        <v>1600000</v>
      </c>
      <c r="N548" s="3">
        <v>3200000</v>
      </c>
    </row>
    <row r="549" spans="4:14" x14ac:dyDescent="0.3">
      <c r="D549" s="3">
        <v>300000</v>
      </c>
      <c r="F549" s="3">
        <v>300000</v>
      </c>
      <c r="H549" s="3">
        <v>500000</v>
      </c>
      <c r="J549" s="3">
        <v>500000</v>
      </c>
      <c r="L549" s="3">
        <v>1600000</v>
      </c>
      <c r="N549" s="3">
        <v>3200000</v>
      </c>
    </row>
    <row r="550" spans="4:14" x14ac:dyDescent="0.3">
      <c r="D550" s="3">
        <v>300000</v>
      </c>
      <c r="F550" s="3">
        <v>300000</v>
      </c>
      <c r="H550" s="3">
        <v>500000</v>
      </c>
      <c r="J550" s="3">
        <v>500000</v>
      </c>
      <c r="L550" s="3">
        <v>1600000</v>
      </c>
      <c r="N550" s="3">
        <v>3200000</v>
      </c>
    </row>
    <row r="551" spans="4:14" x14ac:dyDescent="0.3">
      <c r="D551" s="3">
        <v>300000</v>
      </c>
      <c r="F551" s="3">
        <v>300000</v>
      </c>
      <c r="H551" s="3">
        <v>500000</v>
      </c>
      <c r="J551" s="3">
        <v>500000</v>
      </c>
      <c r="L551" s="3">
        <v>1600000</v>
      </c>
      <c r="N551" s="3">
        <v>3200000</v>
      </c>
    </row>
    <row r="552" spans="4:14" x14ac:dyDescent="0.3">
      <c r="D552" s="3">
        <v>300000</v>
      </c>
      <c r="F552" s="3">
        <v>300000</v>
      </c>
      <c r="H552" s="3">
        <v>500000</v>
      </c>
      <c r="J552" s="3">
        <v>500000</v>
      </c>
      <c r="L552" s="3">
        <v>1600000</v>
      </c>
      <c r="N552" s="3">
        <v>3200000</v>
      </c>
    </row>
    <row r="553" spans="4:14" x14ac:dyDescent="0.3">
      <c r="D553" s="3">
        <v>300000</v>
      </c>
      <c r="F553" s="3">
        <v>300000</v>
      </c>
      <c r="H553" s="3">
        <v>500000</v>
      </c>
      <c r="J553" s="3">
        <v>500000</v>
      </c>
      <c r="L553" s="3">
        <v>1600000</v>
      </c>
      <c r="N553" s="3">
        <v>3200000</v>
      </c>
    </row>
    <row r="554" spans="4:14" x14ac:dyDescent="0.3">
      <c r="D554" s="3">
        <v>300000</v>
      </c>
      <c r="F554" s="3">
        <v>300000</v>
      </c>
      <c r="H554" s="3">
        <v>500000</v>
      </c>
      <c r="J554" s="3">
        <v>500000</v>
      </c>
      <c r="L554" s="3">
        <v>1600000</v>
      </c>
      <c r="N554" s="3">
        <v>3200000</v>
      </c>
    </row>
    <row r="555" spans="4:14" x14ac:dyDescent="0.3">
      <c r="D555" s="3">
        <v>300000</v>
      </c>
      <c r="F555" s="3">
        <v>300000</v>
      </c>
      <c r="H555" s="3">
        <v>500000</v>
      </c>
      <c r="J555" s="3">
        <v>500000</v>
      </c>
      <c r="L555" s="3">
        <v>1600000</v>
      </c>
      <c r="N555" s="3">
        <v>3200000</v>
      </c>
    </row>
    <row r="556" spans="4:14" x14ac:dyDescent="0.3">
      <c r="D556" s="3">
        <v>300000</v>
      </c>
      <c r="F556" s="3">
        <v>300000</v>
      </c>
      <c r="H556" s="3">
        <v>500000</v>
      </c>
      <c r="J556" s="3">
        <v>500000</v>
      </c>
      <c r="L556" s="3">
        <v>1600000</v>
      </c>
      <c r="N556" s="3">
        <v>3200000</v>
      </c>
    </row>
    <row r="557" spans="4:14" x14ac:dyDescent="0.3">
      <c r="D557" s="3">
        <v>300000</v>
      </c>
      <c r="F557" s="3">
        <v>300000</v>
      </c>
      <c r="H557" s="3">
        <v>500000</v>
      </c>
      <c r="J557" s="3">
        <v>500000</v>
      </c>
      <c r="L557" s="3">
        <v>1600000</v>
      </c>
      <c r="N557" s="3">
        <v>3200000</v>
      </c>
    </row>
    <row r="558" spans="4:14" x14ac:dyDescent="0.3">
      <c r="D558" s="3">
        <v>300000</v>
      </c>
      <c r="F558" s="3">
        <v>300000</v>
      </c>
      <c r="H558" s="3">
        <v>500000</v>
      </c>
      <c r="J558" s="3">
        <v>500000</v>
      </c>
      <c r="L558" s="3">
        <v>1600000</v>
      </c>
      <c r="N558" s="3">
        <v>3200000</v>
      </c>
    </row>
    <row r="559" spans="4:14" x14ac:dyDescent="0.3">
      <c r="D559" s="3">
        <v>300000</v>
      </c>
      <c r="F559" s="3">
        <v>300000</v>
      </c>
      <c r="H559" s="3">
        <v>500000</v>
      </c>
      <c r="J559" s="3">
        <v>500000</v>
      </c>
      <c r="L559" s="3">
        <v>1600000</v>
      </c>
      <c r="N559" s="3">
        <v>3200000</v>
      </c>
    </row>
    <row r="560" spans="4:14" x14ac:dyDescent="0.3">
      <c r="D560" s="3">
        <v>300000</v>
      </c>
      <c r="F560" s="3">
        <v>300000</v>
      </c>
      <c r="H560" s="3">
        <v>500000</v>
      </c>
      <c r="J560" s="3">
        <v>500000</v>
      </c>
      <c r="L560" s="3">
        <v>1600000</v>
      </c>
      <c r="N560" s="3">
        <v>3200000</v>
      </c>
    </row>
    <row r="561" spans="4:14" x14ac:dyDescent="0.3">
      <c r="D561" s="3">
        <v>300000</v>
      </c>
      <c r="F561" s="3">
        <v>300000</v>
      </c>
      <c r="H561" s="3">
        <v>500000</v>
      </c>
      <c r="J561" s="3">
        <v>500000</v>
      </c>
      <c r="L561" s="3">
        <v>1600000</v>
      </c>
      <c r="N561" s="3">
        <v>3200000</v>
      </c>
    </row>
    <row r="562" spans="4:14" x14ac:dyDescent="0.3">
      <c r="D562" s="3">
        <v>300000</v>
      </c>
      <c r="F562" s="3">
        <v>300000</v>
      </c>
      <c r="H562" s="3">
        <v>500000</v>
      </c>
      <c r="J562" s="3">
        <v>500000</v>
      </c>
      <c r="L562" s="3">
        <v>1600000</v>
      </c>
      <c r="N562" s="3">
        <v>3200000</v>
      </c>
    </row>
    <row r="563" spans="4:14" x14ac:dyDescent="0.3">
      <c r="D563" s="3">
        <v>300000</v>
      </c>
      <c r="F563" s="3">
        <v>300000</v>
      </c>
      <c r="H563" s="3">
        <v>500000</v>
      </c>
      <c r="J563" s="3">
        <v>500000</v>
      </c>
      <c r="L563" s="3">
        <v>1600000</v>
      </c>
      <c r="N563" s="3">
        <v>3200000</v>
      </c>
    </row>
    <row r="564" spans="4:14" x14ac:dyDescent="0.3">
      <c r="D564" s="3">
        <v>300000</v>
      </c>
      <c r="F564" s="3">
        <v>300000</v>
      </c>
      <c r="H564" s="3">
        <v>500000</v>
      </c>
      <c r="J564" s="3">
        <v>500000</v>
      </c>
      <c r="L564" s="3">
        <v>1600000</v>
      </c>
      <c r="N564" s="3">
        <v>3200000</v>
      </c>
    </row>
    <row r="565" spans="4:14" x14ac:dyDescent="0.3">
      <c r="D565" s="3">
        <v>300000</v>
      </c>
      <c r="F565" s="3">
        <v>300000</v>
      </c>
      <c r="H565" s="3">
        <v>500000</v>
      </c>
      <c r="J565" s="3">
        <v>500000</v>
      </c>
      <c r="L565" s="3">
        <v>1600000</v>
      </c>
      <c r="N565" s="3">
        <v>3200000</v>
      </c>
    </row>
    <row r="566" spans="4:14" x14ac:dyDescent="0.3">
      <c r="D566" s="3">
        <v>300000</v>
      </c>
      <c r="F566" s="3">
        <v>300000</v>
      </c>
      <c r="H566" s="3">
        <v>500000</v>
      </c>
      <c r="J566" s="3">
        <v>500000</v>
      </c>
      <c r="L566" s="3">
        <v>1600000</v>
      </c>
      <c r="N566" s="3">
        <v>3200000</v>
      </c>
    </row>
    <row r="567" spans="4:14" x14ac:dyDescent="0.3">
      <c r="D567" s="3">
        <v>300000</v>
      </c>
      <c r="F567" s="3">
        <v>300000</v>
      </c>
      <c r="H567" s="3">
        <v>500000</v>
      </c>
      <c r="J567" s="3">
        <v>500000</v>
      </c>
      <c r="L567" s="3">
        <v>1600000</v>
      </c>
      <c r="N567" s="3">
        <v>3200000</v>
      </c>
    </row>
    <row r="568" spans="4:14" x14ac:dyDescent="0.3">
      <c r="D568" s="3">
        <v>300000</v>
      </c>
      <c r="F568" s="3">
        <v>300000</v>
      </c>
      <c r="H568" s="3">
        <v>500000</v>
      </c>
      <c r="J568" s="3">
        <v>500000</v>
      </c>
      <c r="L568" s="3">
        <v>1600000</v>
      </c>
      <c r="N568" s="3">
        <v>3200000</v>
      </c>
    </row>
    <row r="569" spans="4:14" x14ac:dyDescent="0.3">
      <c r="D569" s="3">
        <v>300000</v>
      </c>
      <c r="F569" s="3">
        <v>300000</v>
      </c>
      <c r="H569" s="3">
        <v>500000</v>
      </c>
      <c r="J569" s="3">
        <v>500000</v>
      </c>
      <c r="L569" s="3">
        <v>1600000</v>
      </c>
      <c r="N569" s="3">
        <v>3200000</v>
      </c>
    </row>
    <row r="570" spans="4:14" x14ac:dyDescent="0.3">
      <c r="D570" s="3">
        <v>300000</v>
      </c>
      <c r="F570" s="3">
        <v>300000</v>
      </c>
      <c r="H570" s="3">
        <v>500000</v>
      </c>
      <c r="J570" s="3">
        <v>500000</v>
      </c>
      <c r="L570" s="3">
        <v>1600000</v>
      </c>
      <c r="N570" s="3">
        <v>3200000</v>
      </c>
    </row>
    <row r="571" spans="4:14" x14ac:dyDescent="0.3">
      <c r="D571" s="3">
        <v>300000</v>
      </c>
      <c r="F571" s="3">
        <v>300000</v>
      </c>
      <c r="H571" s="3">
        <v>500000</v>
      </c>
      <c r="J571" s="3">
        <v>500000</v>
      </c>
      <c r="L571" s="3">
        <v>1600000</v>
      </c>
      <c r="N571" s="3">
        <v>3200000</v>
      </c>
    </row>
    <row r="572" spans="4:14" x14ac:dyDescent="0.3">
      <c r="D572" s="3">
        <v>300000</v>
      </c>
      <c r="F572" s="3">
        <v>300000</v>
      </c>
      <c r="H572" s="3">
        <v>500000</v>
      </c>
      <c r="J572" s="3">
        <v>500000</v>
      </c>
      <c r="L572" s="3">
        <v>1600000</v>
      </c>
      <c r="N572" s="3">
        <v>3200000</v>
      </c>
    </row>
    <row r="573" spans="4:14" x14ac:dyDescent="0.3">
      <c r="D573" s="3">
        <v>300000</v>
      </c>
      <c r="F573" s="3">
        <v>300000</v>
      </c>
      <c r="H573" s="3">
        <v>500000</v>
      </c>
      <c r="J573" s="3">
        <v>500000</v>
      </c>
      <c r="L573" s="3">
        <v>1600000</v>
      </c>
      <c r="N573" s="3">
        <v>3200000</v>
      </c>
    </row>
    <row r="574" spans="4:14" x14ac:dyDescent="0.3">
      <c r="D574" s="3">
        <v>300000</v>
      </c>
      <c r="F574" s="3">
        <v>300000</v>
      </c>
      <c r="H574" s="3">
        <v>500000</v>
      </c>
      <c r="J574" s="3">
        <v>500000</v>
      </c>
      <c r="L574" s="3">
        <v>1600000</v>
      </c>
      <c r="N574" s="3">
        <v>3200000</v>
      </c>
    </row>
    <row r="575" spans="4:14" x14ac:dyDescent="0.3">
      <c r="D575" s="3">
        <v>300000</v>
      </c>
      <c r="F575" s="3">
        <v>300000</v>
      </c>
      <c r="H575" s="3">
        <v>500000</v>
      </c>
      <c r="J575" s="3">
        <v>500000</v>
      </c>
      <c r="L575" s="3">
        <v>1600000</v>
      </c>
      <c r="N575" s="3">
        <v>3200000</v>
      </c>
    </row>
    <row r="576" spans="4:14" x14ac:dyDescent="0.3">
      <c r="D576" s="3">
        <v>300000</v>
      </c>
      <c r="F576" s="3">
        <v>300000</v>
      </c>
      <c r="H576" s="3">
        <v>500000</v>
      </c>
      <c r="J576" s="3">
        <v>500000</v>
      </c>
      <c r="L576" s="3">
        <v>1600000</v>
      </c>
      <c r="N576" s="3">
        <v>3200000</v>
      </c>
    </row>
    <row r="577" spans="4:14" x14ac:dyDescent="0.3">
      <c r="D577" s="3">
        <v>300000</v>
      </c>
      <c r="F577" s="3">
        <v>300000</v>
      </c>
      <c r="H577" s="3">
        <v>500000</v>
      </c>
      <c r="J577" s="3">
        <v>500000</v>
      </c>
      <c r="L577" s="3">
        <v>1600000</v>
      </c>
      <c r="N577" s="3">
        <v>3200000</v>
      </c>
    </row>
    <row r="578" spans="4:14" x14ac:dyDescent="0.3">
      <c r="D578" s="3">
        <v>300000</v>
      </c>
      <c r="F578" s="3">
        <v>300000</v>
      </c>
      <c r="H578" s="3">
        <v>500000</v>
      </c>
      <c r="J578" s="3">
        <v>500000</v>
      </c>
      <c r="L578" s="3">
        <v>1600000</v>
      </c>
      <c r="N578" s="3">
        <v>3200000</v>
      </c>
    </row>
    <row r="579" spans="4:14" x14ac:dyDescent="0.3">
      <c r="D579" s="3">
        <v>300000</v>
      </c>
      <c r="F579" s="3">
        <v>300000</v>
      </c>
      <c r="H579" s="3">
        <v>500000</v>
      </c>
      <c r="J579" s="3">
        <v>500000</v>
      </c>
      <c r="L579" s="3">
        <v>1600000</v>
      </c>
      <c r="N579" s="3">
        <v>3200000</v>
      </c>
    </row>
    <row r="580" spans="4:14" x14ac:dyDescent="0.3">
      <c r="D580" s="3">
        <v>300000</v>
      </c>
      <c r="F580" s="3">
        <v>300000</v>
      </c>
      <c r="H580" s="3">
        <v>500000</v>
      </c>
      <c r="J580" s="3">
        <v>500000</v>
      </c>
      <c r="L580" s="3">
        <v>1600000</v>
      </c>
      <c r="N580" s="3">
        <v>3200000</v>
      </c>
    </row>
    <row r="581" spans="4:14" x14ac:dyDescent="0.3">
      <c r="D581" s="3">
        <v>300000</v>
      </c>
      <c r="F581" s="3">
        <v>300000</v>
      </c>
      <c r="H581" s="3">
        <v>500000</v>
      </c>
      <c r="J581" s="3">
        <v>500000</v>
      </c>
      <c r="L581" s="3">
        <v>1600000</v>
      </c>
      <c r="N581" s="3">
        <v>3200000</v>
      </c>
    </row>
    <row r="582" spans="4:14" x14ac:dyDescent="0.3">
      <c r="D582" s="3">
        <v>300000</v>
      </c>
      <c r="F582" s="3">
        <v>300000</v>
      </c>
      <c r="H582" s="3">
        <v>500000</v>
      </c>
      <c r="J582" s="3">
        <v>500000</v>
      </c>
      <c r="L582" s="3">
        <v>1600000</v>
      </c>
      <c r="N582" s="3">
        <v>3200000</v>
      </c>
    </row>
    <row r="583" spans="4:14" x14ac:dyDescent="0.3">
      <c r="D583" s="3">
        <v>300000</v>
      </c>
      <c r="F583" s="3">
        <v>300000</v>
      </c>
      <c r="H583" s="3">
        <v>500000</v>
      </c>
      <c r="J583" s="3">
        <v>500000</v>
      </c>
      <c r="L583" s="3">
        <v>1600000</v>
      </c>
      <c r="N583" s="3">
        <v>3200000</v>
      </c>
    </row>
    <row r="584" spans="4:14" x14ac:dyDescent="0.3">
      <c r="D584" s="3">
        <v>300000</v>
      </c>
      <c r="F584" s="3">
        <v>300000</v>
      </c>
      <c r="H584" s="3">
        <v>500000</v>
      </c>
      <c r="J584" s="3">
        <v>500000</v>
      </c>
      <c r="L584" s="3">
        <v>1600000</v>
      </c>
      <c r="N584" s="3">
        <v>3200000</v>
      </c>
    </row>
    <row r="585" spans="4:14" x14ac:dyDescent="0.3">
      <c r="D585" s="3">
        <v>300000</v>
      </c>
      <c r="F585" s="3">
        <v>300000</v>
      </c>
      <c r="H585" s="3">
        <v>500000</v>
      </c>
      <c r="J585" s="3">
        <v>500000</v>
      </c>
      <c r="L585" s="3">
        <v>1600000</v>
      </c>
      <c r="N585" s="3">
        <v>3200000</v>
      </c>
    </row>
    <row r="586" spans="4:14" x14ac:dyDescent="0.3">
      <c r="D586" s="3">
        <v>300000</v>
      </c>
      <c r="F586" s="3">
        <v>300000</v>
      </c>
      <c r="H586" s="3">
        <v>500000</v>
      </c>
      <c r="J586" s="3">
        <v>500000</v>
      </c>
      <c r="L586" s="3">
        <v>1600000</v>
      </c>
      <c r="N586" s="3">
        <v>3200000</v>
      </c>
    </row>
    <row r="587" spans="4:14" x14ac:dyDescent="0.3">
      <c r="D587" s="3">
        <v>300000</v>
      </c>
      <c r="F587" s="3">
        <v>300000</v>
      </c>
      <c r="H587" s="3">
        <v>500000</v>
      </c>
      <c r="J587" s="3">
        <v>500000</v>
      </c>
      <c r="L587" s="3">
        <v>1600000</v>
      </c>
      <c r="N587" s="3">
        <v>3200000</v>
      </c>
    </row>
    <row r="588" spans="4:14" x14ac:dyDescent="0.3">
      <c r="D588" s="3">
        <v>300000</v>
      </c>
      <c r="F588" s="3">
        <v>300000</v>
      </c>
      <c r="H588" s="3">
        <v>500000</v>
      </c>
      <c r="J588" s="3">
        <v>500000</v>
      </c>
      <c r="L588" s="3">
        <v>1600000</v>
      </c>
      <c r="N588" s="3">
        <v>3200000</v>
      </c>
    </row>
    <row r="589" spans="4:14" x14ac:dyDescent="0.3">
      <c r="D589" s="3">
        <v>300000</v>
      </c>
      <c r="F589" s="3">
        <v>300000</v>
      </c>
      <c r="H589" s="3">
        <v>500000</v>
      </c>
      <c r="J589" s="3">
        <v>500000</v>
      </c>
      <c r="L589" s="3">
        <v>1600000</v>
      </c>
      <c r="N589" s="3">
        <v>3200000</v>
      </c>
    </row>
    <row r="590" spans="4:14" x14ac:dyDescent="0.3">
      <c r="D590" s="3">
        <v>300000</v>
      </c>
      <c r="F590" s="3">
        <v>300000</v>
      </c>
      <c r="H590" s="3">
        <v>500000</v>
      </c>
      <c r="J590" s="3">
        <v>500000</v>
      </c>
      <c r="L590" s="3">
        <v>1600000</v>
      </c>
      <c r="N590" s="3">
        <v>3200000</v>
      </c>
    </row>
    <row r="591" spans="4:14" x14ac:dyDescent="0.3">
      <c r="D591" s="3">
        <v>300000</v>
      </c>
      <c r="F591" s="3">
        <v>300000</v>
      </c>
      <c r="H591" s="3">
        <v>500000</v>
      </c>
      <c r="J591" s="3">
        <v>500000</v>
      </c>
      <c r="L591" s="3">
        <v>1600000</v>
      </c>
      <c r="N591" s="3">
        <v>3200000</v>
      </c>
    </row>
    <row r="592" spans="4:14" x14ac:dyDescent="0.3">
      <c r="D592" s="3">
        <v>300000</v>
      </c>
      <c r="F592" s="3">
        <v>300000</v>
      </c>
      <c r="H592" s="3">
        <v>500000</v>
      </c>
      <c r="J592" s="3">
        <v>500000</v>
      </c>
      <c r="L592" s="3">
        <v>1600000</v>
      </c>
      <c r="N592" s="3">
        <v>3200000</v>
      </c>
    </row>
    <row r="593" spans="4:14" x14ac:dyDescent="0.3">
      <c r="D593" s="3">
        <v>300000</v>
      </c>
      <c r="F593" s="3">
        <v>300000</v>
      </c>
      <c r="H593" s="3">
        <v>500000</v>
      </c>
      <c r="J593" s="3">
        <v>500000</v>
      </c>
      <c r="L593" s="3">
        <v>1600000</v>
      </c>
      <c r="N593" s="3">
        <v>3200000</v>
      </c>
    </row>
    <row r="594" spans="4:14" x14ac:dyDescent="0.3">
      <c r="D594" s="3">
        <v>300000</v>
      </c>
      <c r="F594" s="3">
        <v>300000</v>
      </c>
      <c r="H594" s="3">
        <v>500000</v>
      </c>
      <c r="J594" s="3">
        <v>500000</v>
      </c>
      <c r="L594" s="3">
        <v>1600000</v>
      </c>
      <c r="N594" s="3">
        <v>3200000</v>
      </c>
    </row>
    <row r="595" spans="4:14" x14ac:dyDescent="0.3">
      <c r="D595" s="3">
        <v>300000</v>
      </c>
      <c r="F595" s="3">
        <v>300000</v>
      </c>
      <c r="H595" s="3">
        <v>500000</v>
      </c>
      <c r="J595" s="3">
        <v>500000</v>
      </c>
      <c r="L595" s="3">
        <v>1600000</v>
      </c>
      <c r="N595" s="3">
        <v>3200000</v>
      </c>
    </row>
    <row r="596" spans="4:14" x14ac:dyDescent="0.3">
      <c r="D596" s="3">
        <v>300000</v>
      </c>
      <c r="F596" s="3">
        <v>300000</v>
      </c>
      <c r="H596" s="3">
        <v>500000</v>
      </c>
      <c r="J596" s="3">
        <v>500000</v>
      </c>
      <c r="L596" s="3">
        <v>1600000</v>
      </c>
      <c r="N596" s="3">
        <v>3200000</v>
      </c>
    </row>
    <row r="597" spans="4:14" x14ac:dyDescent="0.3">
      <c r="D597" s="3">
        <v>300000</v>
      </c>
      <c r="F597" s="3">
        <v>300000</v>
      </c>
      <c r="H597" s="3">
        <v>500000</v>
      </c>
      <c r="J597" s="3">
        <v>500000</v>
      </c>
      <c r="L597" s="3">
        <v>1600000</v>
      </c>
      <c r="N597" s="3">
        <v>3200000</v>
      </c>
    </row>
    <row r="598" spans="4:14" x14ac:dyDescent="0.3">
      <c r="D598" s="3">
        <v>300000</v>
      </c>
      <c r="F598" s="3">
        <v>300000</v>
      </c>
      <c r="H598" s="3">
        <v>500000</v>
      </c>
      <c r="J598" s="3">
        <v>500000</v>
      </c>
      <c r="L598" s="3">
        <v>1600000</v>
      </c>
      <c r="N598" s="3">
        <v>3200000</v>
      </c>
    </row>
    <row r="599" spans="4:14" x14ac:dyDescent="0.3">
      <c r="D599" s="3">
        <v>300000</v>
      </c>
      <c r="F599" s="3">
        <v>300000</v>
      </c>
      <c r="H599" s="3">
        <v>500000</v>
      </c>
      <c r="J599" s="3">
        <v>500000</v>
      </c>
      <c r="L599" s="3">
        <v>1600000</v>
      </c>
      <c r="N599" s="3">
        <v>3200000</v>
      </c>
    </row>
    <row r="600" spans="4:14" x14ac:dyDescent="0.3">
      <c r="D600" s="3">
        <v>300000</v>
      </c>
      <c r="F600" s="3">
        <v>300000</v>
      </c>
      <c r="H600" s="3">
        <v>500000</v>
      </c>
      <c r="J600" s="3">
        <v>500000</v>
      </c>
      <c r="L600" s="3">
        <v>1600000</v>
      </c>
      <c r="N600" s="3">
        <v>3200000</v>
      </c>
    </row>
    <row r="601" spans="4:14" x14ac:dyDescent="0.3">
      <c r="D601" s="3">
        <v>300000</v>
      </c>
      <c r="F601" s="3">
        <v>300000</v>
      </c>
      <c r="H601" s="3">
        <v>500000</v>
      </c>
      <c r="J601" s="3">
        <v>500000</v>
      </c>
      <c r="L601" s="3">
        <v>1600000</v>
      </c>
      <c r="N601" s="3">
        <v>3200000</v>
      </c>
    </row>
    <row r="602" spans="4:14" x14ac:dyDescent="0.3">
      <c r="D602" s="3">
        <v>300000</v>
      </c>
      <c r="F602" s="3">
        <v>300000</v>
      </c>
      <c r="H602" s="3">
        <v>500000</v>
      </c>
      <c r="J602" s="3">
        <v>500000</v>
      </c>
      <c r="L602" s="3">
        <v>1600000</v>
      </c>
      <c r="N602" s="3">
        <v>3200000</v>
      </c>
    </row>
    <row r="603" spans="4:14" x14ac:dyDescent="0.3">
      <c r="D603" s="3">
        <v>300000</v>
      </c>
      <c r="F603" s="3">
        <v>300000</v>
      </c>
      <c r="H603" s="3">
        <v>500000</v>
      </c>
      <c r="J603" s="3">
        <v>500000</v>
      </c>
      <c r="L603" s="3">
        <v>1600000</v>
      </c>
      <c r="N603" s="3">
        <v>3200000</v>
      </c>
    </row>
    <row r="604" spans="4:14" x14ac:dyDescent="0.3">
      <c r="D604" s="3">
        <v>300000</v>
      </c>
      <c r="F604" s="3">
        <v>300000</v>
      </c>
      <c r="H604" s="3">
        <v>500000</v>
      </c>
      <c r="J604" s="3">
        <v>500000</v>
      </c>
      <c r="L604" s="3">
        <v>1600000</v>
      </c>
      <c r="N604" s="3">
        <v>3200000</v>
      </c>
    </row>
    <row r="605" spans="4:14" x14ac:dyDescent="0.3">
      <c r="D605" s="3">
        <v>300000</v>
      </c>
      <c r="F605" s="3">
        <v>300000</v>
      </c>
      <c r="H605" s="3">
        <v>500000</v>
      </c>
      <c r="J605" s="3">
        <v>500000</v>
      </c>
      <c r="L605" s="3">
        <v>1600000</v>
      </c>
      <c r="N605" s="3">
        <v>3200000</v>
      </c>
    </row>
    <row r="606" spans="4:14" x14ac:dyDescent="0.3">
      <c r="D606" s="3">
        <v>300000</v>
      </c>
      <c r="F606" s="3">
        <v>300000</v>
      </c>
      <c r="H606" s="3">
        <v>500000</v>
      </c>
      <c r="J606" s="3">
        <v>500000</v>
      </c>
      <c r="L606" s="3">
        <v>1600000</v>
      </c>
      <c r="N606" s="3">
        <v>3200000</v>
      </c>
    </row>
    <row r="607" spans="4:14" x14ac:dyDescent="0.3">
      <c r="D607" s="3">
        <v>300000</v>
      </c>
      <c r="F607" s="3">
        <v>300000</v>
      </c>
      <c r="H607" s="3">
        <v>500000</v>
      </c>
      <c r="J607" s="3">
        <v>500000</v>
      </c>
      <c r="L607" s="3">
        <v>1600000</v>
      </c>
      <c r="N607" s="3">
        <v>3200000</v>
      </c>
    </row>
    <row r="608" spans="4:14" x14ac:dyDescent="0.3">
      <c r="D608" s="3">
        <v>300000</v>
      </c>
      <c r="F608" s="3">
        <v>300000</v>
      </c>
      <c r="H608" s="3">
        <v>500000</v>
      </c>
      <c r="J608" s="3">
        <v>500000</v>
      </c>
      <c r="L608" s="3">
        <v>1600000</v>
      </c>
      <c r="N608" s="3">
        <v>3200000</v>
      </c>
    </row>
    <row r="609" spans="4:14" x14ac:dyDescent="0.3">
      <c r="D609" s="3">
        <v>300000</v>
      </c>
      <c r="F609" s="3">
        <v>300000</v>
      </c>
      <c r="H609" s="3">
        <v>500000</v>
      </c>
      <c r="J609" s="3">
        <v>500000</v>
      </c>
      <c r="L609" s="3">
        <v>1600000</v>
      </c>
      <c r="N609" s="3">
        <v>3200000</v>
      </c>
    </row>
    <row r="610" spans="4:14" x14ac:dyDescent="0.3">
      <c r="D610" s="3">
        <v>300000</v>
      </c>
      <c r="F610" s="3">
        <v>300000</v>
      </c>
      <c r="H610" s="3">
        <v>500000</v>
      </c>
      <c r="J610" s="3">
        <v>500000</v>
      </c>
      <c r="L610" s="3">
        <v>1600000</v>
      </c>
      <c r="N610" s="3">
        <v>3200000</v>
      </c>
    </row>
    <row r="611" spans="4:14" x14ac:dyDescent="0.3">
      <c r="D611" s="3">
        <v>300000</v>
      </c>
      <c r="F611" s="3">
        <v>300000</v>
      </c>
      <c r="H611" s="3">
        <v>500000</v>
      </c>
      <c r="J611" s="3">
        <v>500000</v>
      </c>
      <c r="L611" s="3">
        <v>1600000</v>
      </c>
      <c r="N611" s="3">
        <v>3200000</v>
      </c>
    </row>
    <row r="612" spans="4:14" x14ac:dyDescent="0.3">
      <c r="D612" s="3">
        <v>300000</v>
      </c>
      <c r="F612" s="3">
        <v>300000</v>
      </c>
      <c r="H612" s="3">
        <v>500000</v>
      </c>
      <c r="J612" s="3">
        <v>500000</v>
      </c>
      <c r="L612" s="3">
        <v>1600000</v>
      </c>
      <c r="N612" s="3">
        <v>3200000</v>
      </c>
    </row>
    <row r="613" spans="4:14" x14ac:dyDescent="0.3">
      <c r="D613" s="3">
        <v>300000</v>
      </c>
      <c r="F613" s="3">
        <v>300000</v>
      </c>
      <c r="H613" s="3">
        <v>500000</v>
      </c>
      <c r="J613" s="3">
        <v>500000</v>
      </c>
      <c r="L613" s="3">
        <v>1600000</v>
      </c>
      <c r="N613" s="3">
        <v>3200000</v>
      </c>
    </row>
    <row r="614" spans="4:14" x14ac:dyDescent="0.3">
      <c r="D614" s="3">
        <v>300000</v>
      </c>
      <c r="F614" s="3">
        <v>300000</v>
      </c>
      <c r="H614" s="3">
        <v>500000</v>
      </c>
      <c r="J614" s="3">
        <v>500000</v>
      </c>
      <c r="L614" s="3">
        <v>1600000</v>
      </c>
      <c r="N614" s="3">
        <v>3200000</v>
      </c>
    </row>
    <row r="615" spans="4:14" x14ac:dyDescent="0.3">
      <c r="D615" s="3">
        <v>300000</v>
      </c>
      <c r="F615" s="3">
        <v>300000</v>
      </c>
      <c r="H615" s="3">
        <v>500000</v>
      </c>
      <c r="J615" s="3">
        <v>500000</v>
      </c>
      <c r="L615" s="3">
        <v>1600000</v>
      </c>
      <c r="N615" s="3">
        <v>3200000</v>
      </c>
    </row>
    <row r="616" spans="4:14" x14ac:dyDescent="0.3">
      <c r="D616" s="3">
        <v>300000</v>
      </c>
      <c r="F616" s="3">
        <v>300000</v>
      </c>
      <c r="H616" s="3">
        <v>500000</v>
      </c>
      <c r="J616" s="3">
        <v>500000</v>
      </c>
      <c r="L616" s="3">
        <v>1600000</v>
      </c>
      <c r="N616" s="3">
        <v>3200000</v>
      </c>
    </row>
    <row r="617" spans="4:14" x14ac:dyDescent="0.3">
      <c r="D617" s="3">
        <v>300000</v>
      </c>
      <c r="F617" s="3">
        <v>300000</v>
      </c>
      <c r="H617" s="3">
        <v>500000</v>
      </c>
      <c r="J617" s="3">
        <v>500000</v>
      </c>
      <c r="L617" s="3">
        <v>1600000</v>
      </c>
      <c r="N617" s="3">
        <v>3200000</v>
      </c>
    </row>
    <row r="618" spans="4:14" x14ac:dyDescent="0.3">
      <c r="D618" s="3">
        <v>300000</v>
      </c>
      <c r="F618" s="3">
        <v>300000</v>
      </c>
      <c r="H618" s="3">
        <v>500000</v>
      </c>
      <c r="J618" s="3">
        <v>500000</v>
      </c>
      <c r="L618" s="3">
        <v>1600000</v>
      </c>
      <c r="N618" s="3">
        <v>3200000</v>
      </c>
    </row>
    <row r="619" spans="4:14" x14ac:dyDescent="0.3">
      <c r="D619" s="3">
        <v>300000</v>
      </c>
      <c r="F619" s="3">
        <v>300000</v>
      </c>
      <c r="H619" s="3">
        <v>500000</v>
      </c>
      <c r="J619" s="3">
        <v>500000</v>
      </c>
      <c r="L619" s="3">
        <v>1600000</v>
      </c>
      <c r="N619" s="3">
        <v>3200000</v>
      </c>
    </row>
    <row r="620" spans="4:14" x14ac:dyDescent="0.3">
      <c r="D620" s="3">
        <v>300000</v>
      </c>
      <c r="F620" s="3">
        <v>300000</v>
      </c>
      <c r="H620" s="3">
        <v>500000</v>
      </c>
      <c r="J620" s="3">
        <v>500000</v>
      </c>
      <c r="L620" s="3">
        <v>1600000</v>
      </c>
      <c r="N620" s="3">
        <v>3200000</v>
      </c>
    </row>
    <row r="621" spans="4:14" x14ac:dyDescent="0.3">
      <c r="D621" s="3">
        <v>300000</v>
      </c>
      <c r="F621" s="3">
        <v>300000</v>
      </c>
      <c r="H621" s="3">
        <v>500000</v>
      </c>
      <c r="J621" s="3">
        <v>500000</v>
      </c>
      <c r="L621" s="3">
        <v>1600000</v>
      </c>
      <c r="N621" s="3">
        <v>3200000</v>
      </c>
    </row>
    <row r="622" spans="4:14" x14ac:dyDescent="0.3">
      <c r="D622" s="3">
        <v>300000</v>
      </c>
      <c r="F622" s="3">
        <v>300000</v>
      </c>
      <c r="H622" s="3">
        <v>500000</v>
      </c>
      <c r="J622" s="3">
        <v>500000</v>
      </c>
      <c r="L622" s="3">
        <v>1600000</v>
      </c>
      <c r="N622" s="3">
        <v>3200000</v>
      </c>
    </row>
    <row r="623" spans="4:14" x14ac:dyDescent="0.3">
      <c r="D623" s="3">
        <v>300000</v>
      </c>
      <c r="F623" s="3">
        <v>300000</v>
      </c>
      <c r="H623" s="3">
        <v>500000</v>
      </c>
      <c r="J623" s="3">
        <v>500000</v>
      </c>
      <c r="L623" s="3">
        <v>1600000</v>
      </c>
      <c r="N623" s="3">
        <v>3200000</v>
      </c>
    </row>
    <row r="624" spans="4:14" x14ac:dyDescent="0.3">
      <c r="D624" s="3">
        <v>300000</v>
      </c>
      <c r="F624" s="3">
        <v>300000</v>
      </c>
      <c r="H624" s="3">
        <v>500000</v>
      </c>
      <c r="J624" s="3">
        <v>500000</v>
      </c>
      <c r="L624" s="3">
        <v>1600000</v>
      </c>
      <c r="N624" s="3">
        <v>3200000</v>
      </c>
    </row>
    <row r="625" spans="4:14" x14ac:dyDescent="0.3">
      <c r="D625" s="3">
        <v>300000</v>
      </c>
      <c r="F625" s="3">
        <v>300000</v>
      </c>
      <c r="H625" s="3">
        <v>500000</v>
      </c>
      <c r="J625" s="3">
        <v>500000</v>
      </c>
      <c r="L625" s="3">
        <v>1600000</v>
      </c>
      <c r="N625" s="3">
        <v>3200000</v>
      </c>
    </row>
    <row r="626" spans="4:14" x14ac:dyDescent="0.3">
      <c r="D626" s="3">
        <v>300000</v>
      </c>
      <c r="F626" s="3">
        <v>300000</v>
      </c>
      <c r="H626" s="3">
        <v>500000</v>
      </c>
      <c r="J626" s="3">
        <v>500000</v>
      </c>
      <c r="L626" s="3">
        <v>1600000</v>
      </c>
      <c r="N626" s="3">
        <v>3200000</v>
      </c>
    </row>
    <row r="627" spans="4:14" x14ac:dyDescent="0.3">
      <c r="D627" s="3">
        <v>300000</v>
      </c>
      <c r="F627" s="3">
        <v>300000</v>
      </c>
      <c r="H627" s="3">
        <v>500000</v>
      </c>
      <c r="J627" s="3">
        <v>500000</v>
      </c>
      <c r="L627" s="3">
        <v>1600000</v>
      </c>
      <c r="N627" s="3">
        <v>3200000</v>
      </c>
    </row>
    <row r="628" spans="4:14" x14ac:dyDescent="0.3">
      <c r="D628" s="3">
        <v>300000</v>
      </c>
      <c r="F628" s="3">
        <v>300000</v>
      </c>
      <c r="H628" s="3">
        <v>500000</v>
      </c>
      <c r="J628" s="3">
        <v>500000</v>
      </c>
      <c r="L628" s="3">
        <v>1600000</v>
      </c>
      <c r="N628" s="3">
        <v>3200000</v>
      </c>
    </row>
    <row r="629" spans="4:14" x14ac:dyDescent="0.3">
      <c r="D629" s="3">
        <v>300000</v>
      </c>
      <c r="F629" s="3">
        <v>300000</v>
      </c>
      <c r="H629" s="3">
        <v>500000</v>
      </c>
      <c r="J629" s="3">
        <v>500000</v>
      </c>
      <c r="L629" s="3">
        <v>1600000</v>
      </c>
      <c r="N629" s="3">
        <v>3200000</v>
      </c>
    </row>
    <row r="630" spans="4:14" x14ac:dyDescent="0.3">
      <c r="D630" s="3">
        <v>300000</v>
      </c>
      <c r="F630" s="3">
        <v>300000</v>
      </c>
      <c r="H630" s="3">
        <v>500000</v>
      </c>
      <c r="J630" s="3">
        <v>500000</v>
      </c>
      <c r="L630" s="3">
        <v>1600000</v>
      </c>
      <c r="N630" s="3">
        <v>3200000</v>
      </c>
    </row>
    <row r="631" spans="4:14" x14ac:dyDescent="0.3">
      <c r="D631" s="3">
        <v>300000</v>
      </c>
      <c r="F631" s="3">
        <v>300000</v>
      </c>
      <c r="H631" s="3">
        <v>500000</v>
      </c>
      <c r="J631" s="3">
        <v>500000</v>
      </c>
      <c r="L631" s="3">
        <v>1600000</v>
      </c>
      <c r="N631" s="3">
        <v>3200000</v>
      </c>
    </row>
    <row r="632" spans="4:14" x14ac:dyDescent="0.3">
      <c r="D632" s="3">
        <v>300000</v>
      </c>
      <c r="F632" s="3">
        <v>300000</v>
      </c>
      <c r="H632" s="3">
        <v>500000</v>
      </c>
      <c r="J632" s="3">
        <v>500000</v>
      </c>
      <c r="L632" s="3">
        <v>1600000</v>
      </c>
      <c r="N632" s="3">
        <v>3200000</v>
      </c>
    </row>
    <row r="633" spans="4:14" x14ac:dyDescent="0.3">
      <c r="D633" s="3">
        <v>300000</v>
      </c>
      <c r="F633" s="3">
        <v>300000</v>
      </c>
      <c r="H633" s="3">
        <v>500000</v>
      </c>
      <c r="J633" s="3">
        <v>500000</v>
      </c>
      <c r="L633" s="3">
        <v>1600000</v>
      </c>
      <c r="N633" s="3">
        <v>3200000</v>
      </c>
    </row>
    <row r="634" spans="4:14" x14ac:dyDescent="0.3">
      <c r="D634" s="3">
        <v>300000</v>
      </c>
      <c r="F634" s="3">
        <v>300000</v>
      </c>
      <c r="H634" s="3">
        <v>500000</v>
      </c>
      <c r="J634" s="3">
        <v>500000</v>
      </c>
      <c r="L634" s="3">
        <v>1600000</v>
      </c>
      <c r="N634" s="3">
        <v>3200000</v>
      </c>
    </row>
    <row r="635" spans="4:14" x14ac:dyDescent="0.3">
      <c r="D635" s="3">
        <v>300000</v>
      </c>
      <c r="F635" s="3">
        <v>300000</v>
      </c>
      <c r="H635" s="3">
        <v>500000</v>
      </c>
      <c r="J635" s="3">
        <v>500000</v>
      </c>
      <c r="L635" s="3">
        <v>1600000</v>
      </c>
      <c r="N635" s="3">
        <v>3200000</v>
      </c>
    </row>
    <row r="636" spans="4:14" x14ac:dyDescent="0.3">
      <c r="D636" s="3">
        <v>300000</v>
      </c>
      <c r="F636" s="3">
        <v>300000</v>
      </c>
      <c r="H636" s="3">
        <v>500000</v>
      </c>
      <c r="J636" s="3">
        <v>500000</v>
      </c>
      <c r="L636" s="3">
        <v>1600000</v>
      </c>
      <c r="N636" s="3">
        <v>3200000</v>
      </c>
    </row>
    <row r="637" spans="4:14" x14ac:dyDescent="0.3">
      <c r="D637" s="3">
        <v>300000</v>
      </c>
      <c r="F637" s="3">
        <v>300000</v>
      </c>
      <c r="H637" s="3">
        <v>500000</v>
      </c>
      <c r="J637" s="3">
        <v>500000</v>
      </c>
      <c r="L637" s="3">
        <v>1600000</v>
      </c>
      <c r="N637" s="3">
        <v>3200000</v>
      </c>
    </row>
    <row r="638" spans="4:14" x14ac:dyDescent="0.3">
      <c r="D638" s="3">
        <v>300000</v>
      </c>
      <c r="F638" s="3">
        <v>300000</v>
      </c>
      <c r="H638" s="3">
        <v>500000</v>
      </c>
      <c r="J638" s="3">
        <v>500000</v>
      </c>
      <c r="L638" s="3">
        <v>1600000</v>
      </c>
      <c r="N638" s="3">
        <v>3200000</v>
      </c>
    </row>
    <row r="639" spans="4:14" x14ac:dyDescent="0.3">
      <c r="D639" s="3">
        <v>300000</v>
      </c>
      <c r="F639" s="3">
        <v>300000</v>
      </c>
      <c r="H639" s="3">
        <v>500000</v>
      </c>
      <c r="J639" s="3">
        <v>500000</v>
      </c>
      <c r="L639" s="3">
        <v>1600000</v>
      </c>
      <c r="N639" s="3">
        <v>3200000</v>
      </c>
    </row>
    <row r="640" spans="4:14" x14ac:dyDescent="0.3">
      <c r="D640" s="3">
        <v>300000</v>
      </c>
      <c r="F640" s="3">
        <v>300000</v>
      </c>
      <c r="H640" s="3">
        <v>500000</v>
      </c>
      <c r="J640" s="3">
        <v>500000</v>
      </c>
      <c r="L640" s="3">
        <v>1600000</v>
      </c>
      <c r="N640" s="3">
        <v>3200000</v>
      </c>
    </row>
    <row r="641" spans="4:14" x14ac:dyDescent="0.3">
      <c r="D641" s="3">
        <v>300000</v>
      </c>
      <c r="F641" s="3">
        <v>300000</v>
      </c>
      <c r="H641" s="3">
        <v>500000</v>
      </c>
      <c r="J641" s="3">
        <v>500000</v>
      </c>
      <c r="L641" s="3">
        <v>1600000</v>
      </c>
      <c r="N641" s="3">
        <v>3200000</v>
      </c>
    </row>
    <row r="642" spans="4:14" x14ac:dyDescent="0.3">
      <c r="D642" s="3">
        <v>300000</v>
      </c>
      <c r="F642" s="3">
        <v>300000</v>
      </c>
      <c r="H642" s="3">
        <v>500000</v>
      </c>
      <c r="J642" s="3">
        <v>500000</v>
      </c>
      <c r="L642" s="3">
        <v>1600000</v>
      </c>
      <c r="N642" s="3">
        <v>3200000</v>
      </c>
    </row>
    <row r="643" spans="4:14" x14ac:dyDescent="0.3">
      <c r="D643" s="3">
        <v>300000</v>
      </c>
      <c r="F643" s="3">
        <v>300000</v>
      </c>
      <c r="H643" s="3">
        <v>500000</v>
      </c>
      <c r="J643" s="3">
        <v>500000</v>
      </c>
      <c r="L643" s="3">
        <v>1600000</v>
      </c>
      <c r="N643" s="3">
        <v>3200000</v>
      </c>
    </row>
    <row r="644" spans="4:14" x14ac:dyDescent="0.3">
      <c r="D644" s="3">
        <v>300000</v>
      </c>
      <c r="F644" s="3">
        <v>300000</v>
      </c>
      <c r="H644" s="3">
        <v>500000</v>
      </c>
      <c r="J644" s="3">
        <v>500000</v>
      </c>
      <c r="L644" s="3">
        <v>1600000</v>
      </c>
      <c r="N644" s="3">
        <v>3200000</v>
      </c>
    </row>
    <row r="645" spans="4:14" x14ac:dyDescent="0.3">
      <c r="D645" s="3">
        <v>300000</v>
      </c>
      <c r="F645" s="3">
        <v>300000</v>
      </c>
      <c r="H645" s="3">
        <v>500000</v>
      </c>
      <c r="J645" s="3">
        <v>500000</v>
      </c>
      <c r="L645" s="3">
        <v>1600000</v>
      </c>
      <c r="N645" s="3">
        <v>3200000</v>
      </c>
    </row>
    <row r="646" spans="4:14" x14ac:dyDescent="0.3">
      <c r="D646" s="3">
        <v>300000</v>
      </c>
      <c r="F646" s="3">
        <v>300000</v>
      </c>
      <c r="H646" s="3">
        <v>500000</v>
      </c>
      <c r="J646" s="3">
        <v>500000</v>
      </c>
      <c r="L646" s="3">
        <v>1600000</v>
      </c>
      <c r="N646" s="3">
        <v>3200000</v>
      </c>
    </row>
    <row r="647" spans="4:14" x14ac:dyDescent="0.3">
      <c r="D647" s="3">
        <v>300000</v>
      </c>
      <c r="F647" s="3">
        <v>300000</v>
      </c>
      <c r="H647" s="3">
        <v>500000</v>
      </c>
      <c r="J647" s="3">
        <v>500000</v>
      </c>
      <c r="L647" s="3">
        <v>1600000</v>
      </c>
      <c r="N647" s="3">
        <v>3200000</v>
      </c>
    </row>
    <row r="648" spans="4:14" x14ac:dyDescent="0.3">
      <c r="D648" s="3">
        <v>300000</v>
      </c>
      <c r="F648" s="3">
        <v>300000</v>
      </c>
      <c r="H648" s="3">
        <v>500000</v>
      </c>
      <c r="J648" s="3">
        <v>500000</v>
      </c>
      <c r="L648" s="3">
        <v>1600000</v>
      </c>
      <c r="N648" s="3">
        <v>3200000</v>
      </c>
    </row>
    <row r="649" spans="4:14" x14ac:dyDescent="0.3">
      <c r="D649" s="3">
        <v>300000</v>
      </c>
      <c r="F649" s="3">
        <v>300000</v>
      </c>
      <c r="H649" s="3">
        <v>500000</v>
      </c>
      <c r="J649" s="3">
        <v>500000</v>
      </c>
      <c r="L649" s="3">
        <v>1600000</v>
      </c>
      <c r="N649" s="3">
        <v>3200000</v>
      </c>
    </row>
    <row r="650" spans="4:14" x14ac:dyDescent="0.3">
      <c r="D650" s="3">
        <v>300000</v>
      </c>
      <c r="F650" s="3">
        <v>300000</v>
      </c>
      <c r="H650" s="3">
        <v>500000</v>
      </c>
      <c r="J650" s="3">
        <v>500000</v>
      </c>
      <c r="L650" s="3">
        <v>1600000</v>
      </c>
      <c r="N650" s="3">
        <v>3200000</v>
      </c>
    </row>
    <row r="651" spans="4:14" x14ac:dyDescent="0.3">
      <c r="D651" s="3">
        <v>300000</v>
      </c>
      <c r="F651" s="3">
        <v>300000</v>
      </c>
      <c r="H651" s="3">
        <v>500000</v>
      </c>
      <c r="J651" s="3">
        <v>500000</v>
      </c>
      <c r="L651" s="3">
        <v>1600000</v>
      </c>
      <c r="N651" s="3">
        <v>3200000</v>
      </c>
    </row>
    <row r="652" spans="4:14" x14ac:dyDescent="0.3">
      <c r="D652" s="3">
        <v>300000</v>
      </c>
      <c r="F652" s="3">
        <v>300000</v>
      </c>
      <c r="H652" s="3">
        <v>500000</v>
      </c>
      <c r="J652" s="3">
        <v>500000</v>
      </c>
      <c r="L652" s="3">
        <v>1600000</v>
      </c>
      <c r="N652" s="3">
        <v>3200000</v>
      </c>
    </row>
    <row r="653" spans="4:14" x14ac:dyDescent="0.3">
      <c r="D653" s="3">
        <v>300000</v>
      </c>
      <c r="F653" s="3">
        <v>300000</v>
      </c>
      <c r="H653" s="3">
        <v>500000</v>
      </c>
      <c r="J653" s="3">
        <v>500000</v>
      </c>
      <c r="L653" s="3">
        <v>1600000</v>
      </c>
      <c r="N653" s="3">
        <v>3200000</v>
      </c>
    </row>
    <row r="654" spans="4:14" x14ac:dyDescent="0.3">
      <c r="D654" s="3">
        <v>300000</v>
      </c>
      <c r="F654" s="3">
        <v>300000</v>
      </c>
      <c r="H654" s="3">
        <v>500000</v>
      </c>
      <c r="J654" s="3">
        <v>500000</v>
      </c>
      <c r="L654" s="3">
        <v>1600000</v>
      </c>
      <c r="N654" s="3">
        <v>3200000</v>
      </c>
    </row>
    <row r="655" spans="4:14" x14ac:dyDescent="0.3">
      <c r="D655" s="3">
        <v>300000</v>
      </c>
      <c r="F655" s="3">
        <v>300000</v>
      </c>
      <c r="H655" s="3">
        <v>500000</v>
      </c>
      <c r="J655" s="3">
        <v>500000</v>
      </c>
      <c r="L655" s="3">
        <v>1600000</v>
      </c>
      <c r="N655" s="3">
        <v>3200000</v>
      </c>
    </row>
    <row r="656" spans="4:14" x14ac:dyDescent="0.3">
      <c r="D656" s="3">
        <v>300000</v>
      </c>
      <c r="F656" s="3">
        <v>300000</v>
      </c>
      <c r="H656" s="3">
        <v>500000</v>
      </c>
      <c r="J656" s="3">
        <v>500000</v>
      </c>
      <c r="L656" s="3">
        <v>1600000</v>
      </c>
      <c r="N656" s="3">
        <v>3200000</v>
      </c>
    </row>
    <row r="657" spans="4:14" x14ac:dyDescent="0.3">
      <c r="D657" s="3">
        <v>300000</v>
      </c>
      <c r="F657" s="3">
        <v>300000</v>
      </c>
      <c r="H657" s="3">
        <v>500000</v>
      </c>
      <c r="J657" s="3">
        <v>500000</v>
      </c>
      <c r="L657" s="3">
        <v>1600000</v>
      </c>
      <c r="N657" s="3">
        <v>3200000</v>
      </c>
    </row>
    <row r="658" spans="4:14" x14ac:dyDescent="0.3">
      <c r="D658" s="3">
        <v>300000</v>
      </c>
      <c r="F658" s="3">
        <v>300000</v>
      </c>
      <c r="H658" s="3">
        <v>500000</v>
      </c>
      <c r="J658" s="3">
        <v>500000</v>
      </c>
      <c r="L658" s="3">
        <v>1600000</v>
      </c>
      <c r="N658" s="3">
        <v>3200000</v>
      </c>
    </row>
    <row r="659" spans="4:14" x14ac:dyDescent="0.3">
      <c r="D659" s="3">
        <v>300000</v>
      </c>
      <c r="F659" s="3">
        <v>300000</v>
      </c>
      <c r="H659" s="3">
        <v>500000</v>
      </c>
      <c r="J659" s="3">
        <v>500000</v>
      </c>
      <c r="L659" s="3">
        <v>1600000</v>
      </c>
      <c r="N659" s="3">
        <v>3200000</v>
      </c>
    </row>
    <row r="660" spans="4:14" x14ac:dyDescent="0.3">
      <c r="D660" s="3">
        <v>300000</v>
      </c>
      <c r="F660" s="3">
        <v>300000</v>
      </c>
      <c r="H660" s="3">
        <v>500000</v>
      </c>
      <c r="J660" s="3">
        <v>500000</v>
      </c>
      <c r="L660" s="3">
        <v>1600000</v>
      </c>
      <c r="N660" s="3">
        <v>3200000</v>
      </c>
    </row>
    <row r="661" spans="4:14" x14ac:dyDescent="0.3">
      <c r="D661" s="3">
        <v>300000</v>
      </c>
      <c r="F661" s="3">
        <v>300000</v>
      </c>
      <c r="H661" s="3">
        <v>500000</v>
      </c>
      <c r="J661" s="3">
        <v>500000</v>
      </c>
      <c r="L661" s="3">
        <v>1600000</v>
      </c>
      <c r="N661" s="3">
        <v>3200000</v>
      </c>
    </row>
    <row r="662" spans="4:14" x14ac:dyDescent="0.3">
      <c r="D662" s="3">
        <v>300000</v>
      </c>
      <c r="F662" s="3">
        <v>300000</v>
      </c>
      <c r="H662" s="3">
        <v>500000</v>
      </c>
      <c r="J662" s="3">
        <v>500000</v>
      </c>
      <c r="L662" s="3">
        <v>1600000</v>
      </c>
      <c r="N662" s="3">
        <v>3200000</v>
      </c>
    </row>
    <row r="663" spans="4:14" x14ac:dyDescent="0.3">
      <c r="D663" s="3">
        <v>300000</v>
      </c>
      <c r="F663" s="3">
        <v>300000</v>
      </c>
      <c r="H663" s="3">
        <v>500000</v>
      </c>
      <c r="J663" s="3">
        <v>500000</v>
      </c>
      <c r="L663" s="3">
        <v>1600000</v>
      </c>
      <c r="N663" s="3">
        <v>3200000</v>
      </c>
    </row>
    <row r="664" spans="4:14" x14ac:dyDescent="0.3">
      <c r="D664" s="3">
        <v>300000</v>
      </c>
      <c r="F664" s="3">
        <v>300000</v>
      </c>
      <c r="H664" s="3">
        <v>500000</v>
      </c>
      <c r="J664" s="3">
        <v>500000</v>
      </c>
      <c r="L664" s="3">
        <v>1600000</v>
      </c>
      <c r="N664" s="3">
        <v>3200000</v>
      </c>
    </row>
    <row r="665" spans="4:14" x14ac:dyDescent="0.3">
      <c r="D665" s="3">
        <v>300000</v>
      </c>
      <c r="F665" s="3">
        <v>300000</v>
      </c>
      <c r="H665" s="3">
        <v>500000</v>
      </c>
      <c r="J665" s="3">
        <v>500000</v>
      </c>
      <c r="L665" s="3">
        <v>1600000</v>
      </c>
      <c r="N665" s="3">
        <v>3200000</v>
      </c>
    </row>
    <row r="666" spans="4:14" x14ac:dyDescent="0.3">
      <c r="D666" s="3">
        <v>300000</v>
      </c>
      <c r="F666" s="3">
        <v>300000</v>
      </c>
      <c r="H666" s="3">
        <v>500000</v>
      </c>
      <c r="J666" s="3">
        <v>500000</v>
      </c>
      <c r="L666" s="3">
        <v>1600000</v>
      </c>
      <c r="N666" s="3">
        <v>3200000</v>
      </c>
    </row>
    <row r="667" spans="4:14" x14ac:dyDescent="0.3">
      <c r="D667" s="3">
        <v>300000</v>
      </c>
      <c r="F667" s="3">
        <v>300000</v>
      </c>
      <c r="H667" s="3">
        <v>500000</v>
      </c>
      <c r="J667" s="3">
        <v>500000</v>
      </c>
      <c r="L667" s="3">
        <v>1600000</v>
      </c>
      <c r="N667" s="3">
        <v>3200000</v>
      </c>
    </row>
    <row r="668" spans="4:14" x14ac:dyDescent="0.3">
      <c r="D668" s="3">
        <v>300000</v>
      </c>
      <c r="F668" s="3">
        <v>300000</v>
      </c>
      <c r="H668" s="3">
        <v>500000</v>
      </c>
      <c r="J668" s="3">
        <v>500000</v>
      </c>
      <c r="L668" s="3">
        <v>1600000</v>
      </c>
      <c r="N668" s="3">
        <v>3200000</v>
      </c>
    </row>
    <row r="669" spans="4:14" x14ac:dyDescent="0.3">
      <c r="D669" s="3">
        <v>300000</v>
      </c>
      <c r="F669" s="3">
        <v>300000</v>
      </c>
      <c r="H669" s="3">
        <v>500000</v>
      </c>
      <c r="J669" s="3">
        <v>500000</v>
      </c>
      <c r="L669" s="3">
        <v>1600000</v>
      </c>
      <c r="N669" s="3">
        <v>3200000</v>
      </c>
    </row>
    <row r="670" spans="4:14" x14ac:dyDescent="0.3">
      <c r="D670" s="3">
        <v>300000</v>
      </c>
      <c r="F670" s="3">
        <v>300000</v>
      </c>
      <c r="H670" s="3">
        <v>500000</v>
      </c>
      <c r="J670" s="3">
        <v>500000</v>
      </c>
      <c r="L670" s="3">
        <v>1600000</v>
      </c>
      <c r="N670" s="3">
        <v>3200000</v>
      </c>
    </row>
    <row r="671" spans="4:14" x14ac:dyDescent="0.3">
      <c r="D671" s="3">
        <v>300000</v>
      </c>
      <c r="F671" s="3">
        <v>300000</v>
      </c>
      <c r="H671" s="3">
        <v>500000</v>
      </c>
      <c r="J671" s="3">
        <v>500000</v>
      </c>
      <c r="L671" s="3">
        <v>1600000</v>
      </c>
      <c r="N671" s="3">
        <v>3200000</v>
      </c>
    </row>
    <row r="672" spans="4:14" x14ac:dyDescent="0.3">
      <c r="D672" s="3">
        <v>300000</v>
      </c>
      <c r="F672" s="3">
        <v>300000</v>
      </c>
      <c r="H672" s="3">
        <v>500000</v>
      </c>
      <c r="J672" s="3">
        <v>500000</v>
      </c>
      <c r="L672" s="3">
        <v>1600000</v>
      </c>
      <c r="N672" s="3">
        <v>3200000</v>
      </c>
    </row>
    <row r="673" spans="4:14" x14ac:dyDescent="0.3">
      <c r="D673" s="3">
        <v>300000</v>
      </c>
      <c r="F673" s="3">
        <v>300000</v>
      </c>
      <c r="H673" s="3">
        <v>500000</v>
      </c>
      <c r="J673" s="3">
        <v>500000</v>
      </c>
      <c r="L673" s="3">
        <v>1600000</v>
      </c>
      <c r="N673" s="3">
        <v>3200000</v>
      </c>
    </row>
    <row r="674" spans="4:14" x14ac:dyDescent="0.3">
      <c r="D674" s="3">
        <v>300000</v>
      </c>
      <c r="F674" s="3">
        <v>300000</v>
      </c>
      <c r="H674" s="3">
        <v>500000</v>
      </c>
      <c r="J674" s="3">
        <v>500000</v>
      </c>
      <c r="L674" s="3">
        <v>1600000</v>
      </c>
      <c r="N674" s="3">
        <v>3200000</v>
      </c>
    </row>
    <row r="675" spans="4:14" x14ac:dyDescent="0.3">
      <c r="D675" s="3">
        <v>300000</v>
      </c>
      <c r="F675" s="3">
        <v>300000</v>
      </c>
      <c r="H675" s="3">
        <v>500000</v>
      </c>
      <c r="J675" s="3">
        <v>500000</v>
      </c>
      <c r="L675" s="3">
        <v>1600000</v>
      </c>
      <c r="N675" s="3">
        <v>3200000</v>
      </c>
    </row>
    <row r="676" spans="4:14" x14ac:dyDescent="0.3">
      <c r="D676" s="3">
        <v>300000</v>
      </c>
      <c r="F676" s="3">
        <v>300000</v>
      </c>
      <c r="H676" s="3">
        <v>500000</v>
      </c>
      <c r="J676" s="3">
        <v>500000</v>
      </c>
      <c r="L676" s="3">
        <v>1600000</v>
      </c>
      <c r="N676" s="3">
        <v>3200000</v>
      </c>
    </row>
    <row r="677" spans="4:14" x14ac:dyDescent="0.3">
      <c r="D677" s="3">
        <v>300000</v>
      </c>
      <c r="F677" s="3">
        <v>300000</v>
      </c>
      <c r="H677" s="3">
        <v>500000</v>
      </c>
      <c r="J677" s="3">
        <v>500000</v>
      </c>
      <c r="L677" s="3">
        <v>1600000</v>
      </c>
      <c r="N677" s="3">
        <v>3200000</v>
      </c>
    </row>
    <row r="678" spans="4:14" x14ac:dyDescent="0.3">
      <c r="D678" s="3">
        <v>300000</v>
      </c>
      <c r="F678" s="3">
        <v>300000</v>
      </c>
      <c r="H678" s="3">
        <v>500000</v>
      </c>
      <c r="J678" s="3">
        <v>500000</v>
      </c>
      <c r="L678" s="3">
        <v>1600000</v>
      </c>
      <c r="N678" s="3">
        <v>3200000</v>
      </c>
    </row>
    <row r="679" spans="4:14" x14ac:dyDescent="0.3">
      <c r="D679" s="3">
        <v>300000</v>
      </c>
      <c r="F679" s="3">
        <v>300000</v>
      </c>
      <c r="H679" s="3">
        <v>500000</v>
      </c>
      <c r="J679" s="3">
        <v>500000</v>
      </c>
      <c r="L679" s="3">
        <v>1600000</v>
      </c>
      <c r="N679" s="3">
        <v>3200000</v>
      </c>
    </row>
    <row r="680" spans="4:14" x14ac:dyDescent="0.3">
      <c r="D680" s="3">
        <v>300000</v>
      </c>
      <c r="F680" s="3">
        <v>300000</v>
      </c>
      <c r="H680" s="3">
        <v>500000</v>
      </c>
      <c r="J680" s="3">
        <v>500000</v>
      </c>
      <c r="L680" s="3">
        <v>1600000</v>
      </c>
      <c r="N680" s="3">
        <v>3200000</v>
      </c>
    </row>
    <row r="681" spans="4:14" x14ac:dyDescent="0.3">
      <c r="D681" s="3">
        <v>300000</v>
      </c>
      <c r="F681" s="3">
        <v>300000</v>
      </c>
      <c r="H681" s="3">
        <v>500000</v>
      </c>
      <c r="J681" s="3">
        <v>500000</v>
      </c>
      <c r="L681" s="3">
        <v>1600000</v>
      </c>
      <c r="N681" s="3">
        <v>3200000</v>
      </c>
    </row>
    <row r="682" spans="4:14" x14ac:dyDescent="0.3">
      <c r="D682" s="3">
        <v>300000</v>
      </c>
      <c r="F682" s="3">
        <v>300000</v>
      </c>
      <c r="H682" s="3">
        <v>500000</v>
      </c>
      <c r="J682" s="3">
        <v>500000</v>
      </c>
      <c r="L682" s="3">
        <v>1600000</v>
      </c>
      <c r="N682" s="3">
        <v>3200000</v>
      </c>
    </row>
    <row r="683" spans="4:14" x14ac:dyDescent="0.3">
      <c r="D683" s="3">
        <v>300000</v>
      </c>
      <c r="F683" s="3">
        <v>300000</v>
      </c>
      <c r="H683" s="3">
        <v>500000</v>
      </c>
      <c r="J683" s="3">
        <v>500000</v>
      </c>
      <c r="L683" s="3">
        <v>1600000</v>
      </c>
      <c r="N683" s="3">
        <v>3200000</v>
      </c>
    </row>
    <row r="684" spans="4:14" x14ac:dyDescent="0.3">
      <c r="D684" s="3">
        <v>300000</v>
      </c>
      <c r="F684" s="3">
        <v>300000</v>
      </c>
      <c r="H684" s="3">
        <v>500000</v>
      </c>
      <c r="J684" s="3">
        <v>500000</v>
      </c>
      <c r="L684" s="3">
        <v>1600000</v>
      </c>
      <c r="N684" s="3">
        <v>3200000</v>
      </c>
    </row>
    <row r="685" spans="4:14" x14ac:dyDescent="0.3">
      <c r="D685" s="3">
        <v>300000</v>
      </c>
      <c r="F685" s="3">
        <v>300000</v>
      </c>
      <c r="H685" s="3">
        <v>500000</v>
      </c>
      <c r="J685" s="3">
        <v>500000</v>
      </c>
      <c r="L685" s="3">
        <v>1600000</v>
      </c>
      <c r="N685" s="3">
        <v>3200000</v>
      </c>
    </row>
    <row r="686" spans="4:14" x14ac:dyDescent="0.3">
      <c r="D686" s="3">
        <v>300000</v>
      </c>
      <c r="F686" s="3">
        <v>300000</v>
      </c>
      <c r="H686" s="3">
        <v>500000</v>
      </c>
      <c r="J686" s="3">
        <v>500000</v>
      </c>
      <c r="L686" s="3">
        <v>1600000</v>
      </c>
      <c r="N686" s="3">
        <v>3200000</v>
      </c>
    </row>
    <row r="687" spans="4:14" x14ac:dyDescent="0.3">
      <c r="D687" s="3">
        <v>300000</v>
      </c>
      <c r="F687" s="3">
        <v>300000</v>
      </c>
      <c r="H687" s="3">
        <v>500000</v>
      </c>
      <c r="J687" s="3">
        <v>500000</v>
      </c>
      <c r="L687" s="3">
        <v>1600000</v>
      </c>
      <c r="N687" s="3">
        <v>3200000</v>
      </c>
    </row>
    <row r="688" spans="4:14" x14ac:dyDescent="0.3">
      <c r="D688" s="3">
        <v>300000</v>
      </c>
      <c r="F688" s="3">
        <v>300000</v>
      </c>
      <c r="H688" s="3">
        <v>500000</v>
      </c>
      <c r="J688" s="3">
        <v>500000</v>
      </c>
      <c r="L688" s="3">
        <v>1600000</v>
      </c>
      <c r="N688" s="3">
        <v>3200000</v>
      </c>
    </row>
    <row r="689" spans="4:14" x14ac:dyDescent="0.3">
      <c r="D689" s="3">
        <v>300000</v>
      </c>
      <c r="F689" s="3">
        <v>300000</v>
      </c>
      <c r="H689" s="3">
        <v>500000</v>
      </c>
      <c r="J689" s="3">
        <v>500000</v>
      </c>
      <c r="L689" s="3">
        <v>1600000</v>
      </c>
      <c r="N689" s="3">
        <v>3200000</v>
      </c>
    </row>
    <row r="690" spans="4:14" x14ac:dyDescent="0.3">
      <c r="D690" s="3">
        <v>300000</v>
      </c>
      <c r="F690" s="3">
        <v>300000</v>
      </c>
      <c r="H690" s="3">
        <v>500000</v>
      </c>
      <c r="J690" s="3">
        <v>500000</v>
      </c>
      <c r="L690" s="3">
        <v>1600000</v>
      </c>
      <c r="N690" s="3">
        <v>3200000</v>
      </c>
    </row>
    <row r="691" spans="4:14" x14ac:dyDescent="0.3">
      <c r="D691" s="3">
        <v>300000</v>
      </c>
      <c r="F691" s="3">
        <v>300000</v>
      </c>
      <c r="H691" s="3">
        <v>500000</v>
      </c>
      <c r="J691" s="3">
        <v>500000</v>
      </c>
      <c r="L691" s="3">
        <v>1600000</v>
      </c>
      <c r="N691" s="3">
        <v>3200000</v>
      </c>
    </row>
    <row r="692" spans="4:14" x14ac:dyDescent="0.3">
      <c r="D692" s="3">
        <v>300000</v>
      </c>
      <c r="F692" s="3">
        <v>300000</v>
      </c>
      <c r="H692" s="3">
        <v>500000</v>
      </c>
      <c r="J692" s="3">
        <v>500000</v>
      </c>
      <c r="L692" s="3">
        <v>1600000</v>
      </c>
      <c r="N692" s="3">
        <v>3200000</v>
      </c>
    </row>
    <row r="693" spans="4:14" x14ac:dyDescent="0.3">
      <c r="D693" s="3">
        <v>300000</v>
      </c>
      <c r="F693" s="3">
        <v>300000</v>
      </c>
      <c r="H693" s="3">
        <v>500000</v>
      </c>
      <c r="J693" s="3">
        <v>500000</v>
      </c>
      <c r="L693" s="3">
        <v>1600000</v>
      </c>
      <c r="N693" s="3">
        <v>3200000</v>
      </c>
    </row>
    <row r="694" spans="4:14" x14ac:dyDescent="0.3">
      <c r="D694" s="3">
        <v>300000</v>
      </c>
      <c r="F694" s="3">
        <v>300000</v>
      </c>
      <c r="H694" s="3">
        <v>500000</v>
      </c>
      <c r="J694" s="3">
        <v>500000</v>
      </c>
      <c r="L694" s="3">
        <v>1600000</v>
      </c>
      <c r="N694" s="3">
        <v>3200000</v>
      </c>
    </row>
    <row r="695" spans="4:14" x14ac:dyDescent="0.3">
      <c r="D695" s="3">
        <v>300000</v>
      </c>
      <c r="F695" s="3">
        <v>300000</v>
      </c>
      <c r="H695" s="3">
        <v>500000</v>
      </c>
      <c r="J695" s="3">
        <v>500000</v>
      </c>
      <c r="L695" s="3">
        <v>1600000</v>
      </c>
      <c r="N695" s="3">
        <v>3200000</v>
      </c>
    </row>
    <row r="696" spans="4:14" x14ac:dyDescent="0.3">
      <c r="D696" s="3">
        <v>300000</v>
      </c>
      <c r="F696" s="3">
        <v>300000</v>
      </c>
      <c r="H696" s="3">
        <v>500000</v>
      </c>
      <c r="J696" s="3">
        <v>500000</v>
      </c>
      <c r="L696" s="3">
        <v>1600000</v>
      </c>
      <c r="N696" s="3">
        <v>3200000</v>
      </c>
    </row>
    <row r="697" spans="4:14" x14ac:dyDescent="0.3">
      <c r="D697" s="3">
        <v>300000</v>
      </c>
      <c r="F697" s="3">
        <v>300000</v>
      </c>
      <c r="H697" s="3">
        <v>500000</v>
      </c>
      <c r="J697" s="3">
        <v>500000</v>
      </c>
      <c r="L697" s="3">
        <v>1600000</v>
      </c>
      <c r="N697" s="3">
        <v>3200000</v>
      </c>
    </row>
    <row r="698" spans="4:14" x14ac:dyDescent="0.3">
      <c r="D698" s="3">
        <v>300000</v>
      </c>
      <c r="F698" s="3">
        <v>300000</v>
      </c>
      <c r="H698" s="3">
        <v>500000</v>
      </c>
      <c r="J698" s="3">
        <v>500000</v>
      </c>
      <c r="L698" s="3">
        <v>1600000</v>
      </c>
      <c r="N698" s="3">
        <v>3200000</v>
      </c>
    </row>
    <row r="699" spans="4:14" x14ac:dyDescent="0.3">
      <c r="D699" s="3">
        <v>300000</v>
      </c>
      <c r="F699" s="3">
        <v>300000</v>
      </c>
      <c r="H699" s="3">
        <v>500000</v>
      </c>
      <c r="J699" s="3">
        <v>500000</v>
      </c>
      <c r="L699" s="3">
        <v>1600000</v>
      </c>
      <c r="N699" s="3">
        <v>3200000</v>
      </c>
    </row>
    <row r="700" spans="4:14" x14ac:dyDescent="0.3">
      <c r="D700" s="3">
        <v>300000</v>
      </c>
      <c r="F700" s="3">
        <v>300000</v>
      </c>
      <c r="H700" s="3">
        <v>500000</v>
      </c>
      <c r="J700" s="3">
        <v>500000</v>
      </c>
      <c r="L700" s="3">
        <v>1600000</v>
      </c>
      <c r="N700" s="3">
        <v>3200000</v>
      </c>
    </row>
    <row r="701" spans="4:14" x14ac:dyDescent="0.3">
      <c r="D701" s="3">
        <v>300000</v>
      </c>
      <c r="F701" s="3">
        <v>300000</v>
      </c>
      <c r="H701" s="3">
        <v>500000</v>
      </c>
      <c r="J701" s="3">
        <v>500000</v>
      </c>
      <c r="L701" s="3">
        <v>1600000</v>
      </c>
      <c r="N701" s="3">
        <v>3200000</v>
      </c>
    </row>
    <row r="702" spans="4:14" x14ac:dyDescent="0.3">
      <c r="D702" s="3">
        <v>300000</v>
      </c>
      <c r="F702" s="3">
        <v>300000</v>
      </c>
      <c r="H702" s="3">
        <v>500000</v>
      </c>
      <c r="J702" s="3">
        <v>500000</v>
      </c>
      <c r="L702" s="3">
        <v>1600000</v>
      </c>
      <c r="N702" s="3">
        <v>3200000</v>
      </c>
    </row>
    <row r="703" spans="4:14" x14ac:dyDescent="0.3">
      <c r="D703" s="3">
        <v>300000</v>
      </c>
      <c r="F703" s="3">
        <v>300000</v>
      </c>
      <c r="H703" s="3">
        <v>500000</v>
      </c>
      <c r="J703" s="3">
        <v>500000</v>
      </c>
      <c r="L703" s="3">
        <v>1600000</v>
      </c>
      <c r="N703" s="3">
        <v>3200000</v>
      </c>
    </row>
    <row r="704" spans="4:14" x14ac:dyDescent="0.3">
      <c r="D704" s="3">
        <v>300000</v>
      </c>
      <c r="F704" s="3">
        <v>300000</v>
      </c>
      <c r="H704" s="3">
        <v>500000</v>
      </c>
      <c r="J704" s="3">
        <v>500000</v>
      </c>
      <c r="L704" s="3">
        <v>1600000</v>
      </c>
      <c r="N704" s="3">
        <v>3200000</v>
      </c>
    </row>
    <row r="705" spans="4:14" x14ac:dyDescent="0.3">
      <c r="D705" s="3">
        <v>300000</v>
      </c>
      <c r="F705" s="3">
        <v>300000</v>
      </c>
      <c r="H705" s="3">
        <v>500000</v>
      </c>
      <c r="J705" s="3">
        <v>500000</v>
      </c>
      <c r="L705" s="3">
        <v>1600000</v>
      </c>
      <c r="N705" s="3">
        <v>3200000</v>
      </c>
    </row>
    <row r="706" spans="4:14" x14ac:dyDescent="0.3">
      <c r="D706" s="3">
        <v>300000</v>
      </c>
      <c r="F706" s="3">
        <v>300000</v>
      </c>
      <c r="H706" s="3">
        <v>500000</v>
      </c>
      <c r="J706" s="3">
        <v>500000</v>
      </c>
      <c r="L706" s="3">
        <v>1600000</v>
      </c>
      <c r="N706" s="3">
        <v>3200000</v>
      </c>
    </row>
    <row r="707" spans="4:14" x14ac:dyDescent="0.3">
      <c r="D707" s="3">
        <v>300000</v>
      </c>
      <c r="F707" s="3">
        <v>300000</v>
      </c>
      <c r="H707" s="3">
        <v>500000</v>
      </c>
      <c r="J707" s="3">
        <v>500000</v>
      </c>
      <c r="L707" s="3">
        <v>1600000</v>
      </c>
      <c r="N707" s="3">
        <v>3200000</v>
      </c>
    </row>
    <row r="708" spans="4:14" x14ac:dyDescent="0.3">
      <c r="D708" s="3">
        <v>300000</v>
      </c>
      <c r="F708" s="3">
        <v>300000</v>
      </c>
      <c r="H708" s="3">
        <v>500000</v>
      </c>
      <c r="J708" s="3">
        <v>500000</v>
      </c>
      <c r="L708" s="3">
        <v>1600000</v>
      </c>
      <c r="N708" s="3">
        <v>3200000</v>
      </c>
    </row>
    <row r="709" spans="4:14" x14ac:dyDescent="0.3">
      <c r="D709" s="3">
        <v>300000</v>
      </c>
      <c r="F709" s="3">
        <v>300000</v>
      </c>
      <c r="H709" s="3">
        <v>500000</v>
      </c>
      <c r="J709" s="3">
        <v>500000</v>
      </c>
      <c r="L709" s="3">
        <v>1600000</v>
      </c>
      <c r="N709" s="3">
        <v>3200000</v>
      </c>
    </row>
    <row r="710" spans="4:14" x14ac:dyDescent="0.3">
      <c r="D710" s="3">
        <v>300000</v>
      </c>
      <c r="F710" s="3">
        <v>300000</v>
      </c>
      <c r="H710" s="3">
        <v>500000</v>
      </c>
      <c r="J710" s="3">
        <v>500000</v>
      </c>
      <c r="L710" s="3">
        <v>1600000</v>
      </c>
      <c r="N710" s="3">
        <v>3200000</v>
      </c>
    </row>
    <row r="711" spans="4:14" x14ac:dyDescent="0.3">
      <c r="D711" s="3">
        <v>300000</v>
      </c>
      <c r="F711" s="3">
        <v>300000</v>
      </c>
      <c r="H711" s="3">
        <v>500000</v>
      </c>
      <c r="J711" s="3">
        <v>500000</v>
      </c>
      <c r="L711" s="3">
        <v>1600000</v>
      </c>
      <c r="N711" s="3">
        <v>3200000</v>
      </c>
    </row>
    <row r="712" spans="4:14" x14ac:dyDescent="0.3">
      <c r="D712" s="3">
        <v>300000</v>
      </c>
      <c r="F712" s="3">
        <v>300000</v>
      </c>
      <c r="H712" s="3">
        <v>500000</v>
      </c>
      <c r="J712" s="3">
        <v>500000</v>
      </c>
      <c r="L712" s="3">
        <v>1600000</v>
      </c>
      <c r="N712" s="3">
        <v>3200000</v>
      </c>
    </row>
    <row r="713" spans="4:14" x14ac:dyDescent="0.3">
      <c r="D713" s="3">
        <v>300000</v>
      </c>
      <c r="F713" s="3">
        <v>300000</v>
      </c>
      <c r="H713" s="3">
        <v>500000</v>
      </c>
      <c r="J713" s="3">
        <v>500000</v>
      </c>
      <c r="L713" s="3">
        <v>1600000</v>
      </c>
      <c r="N713" s="3">
        <v>3200000</v>
      </c>
    </row>
    <row r="714" spans="4:14" x14ac:dyDescent="0.3">
      <c r="D714" s="3">
        <v>300000</v>
      </c>
      <c r="F714" s="3">
        <v>300000</v>
      </c>
      <c r="H714" s="3">
        <v>500000</v>
      </c>
      <c r="J714" s="3">
        <v>500000</v>
      </c>
      <c r="L714" s="3">
        <v>1600000</v>
      </c>
      <c r="N714" s="3">
        <v>3200000</v>
      </c>
    </row>
    <row r="715" spans="4:14" x14ac:dyDescent="0.3">
      <c r="D715" s="3">
        <v>300000</v>
      </c>
      <c r="F715" s="3">
        <v>300000</v>
      </c>
      <c r="H715" s="3">
        <v>500000</v>
      </c>
      <c r="J715" s="3">
        <v>500000</v>
      </c>
      <c r="L715" s="3">
        <v>1600000</v>
      </c>
      <c r="N715" s="3">
        <v>3200000</v>
      </c>
    </row>
    <row r="716" spans="4:14" x14ac:dyDescent="0.3">
      <c r="D716" s="3">
        <v>300000</v>
      </c>
      <c r="F716" s="3">
        <v>300000</v>
      </c>
      <c r="H716" s="3">
        <v>500000</v>
      </c>
      <c r="J716" s="3">
        <v>500000</v>
      </c>
      <c r="L716" s="3">
        <v>1600000</v>
      </c>
      <c r="N716" s="3">
        <v>3200000</v>
      </c>
    </row>
    <row r="717" spans="4:14" x14ac:dyDescent="0.3">
      <c r="D717" s="3">
        <v>300000</v>
      </c>
      <c r="F717" s="3">
        <v>300000</v>
      </c>
      <c r="H717" s="3">
        <v>500000</v>
      </c>
      <c r="J717" s="3">
        <v>500000</v>
      </c>
      <c r="L717" s="3">
        <v>1600000</v>
      </c>
      <c r="N717" s="3">
        <v>3200000</v>
      </c>
    </row>
    <row r="718" spans="4:14" x14ac:dyDescent="0.3">
      <c r="D718" s="3">
        <v>300000</v>
      </c>
      <c r="F718" s="3">
        <v>300000</v>
      </c>
      <c r="H718" s="3">
        <v>500000</v>
      </c>
      <c r="J718" s="3">
        <v>500000</v>
      </c>
      <c r="L718" s="3">
        <v>1600000</v>
      </c>
      <c r="N718" s="3">
        <v>3200000</v>
      </c>
    </row>
    <row r="719" spans="4:14" x14ac:dyDescent="0.3">
      <c r="D719" s="3">
        <v>300000</v>
      </c>
      <c r="F719" s="3">
        <v>300000</v>
      </c>
      <c r="H719" s="3">
        <v>500000</v>
      </c>
      <c r="J719" s="3">
        <v>500000</v>
      </c>
      <c r="L719" s="3">
        <v>1600000</v>
      </c>
      <c r="N719" s="3">
        <v>3200000</v>
      </c>
    </row>
    <row r="720" spans="4:14" x14ac:dyDescent="0.3">
      <c r="D720" s="3">
        <v>300000</v>
      </c>
      <c r="F720" s="3">
        <v>300000</v>
      </c>
      <c r="H720" s="3">
        <v>500000</v>
      </c>
      <c r="J720" s="3">
        <v>500000</v>
      </c>
      <c r="L720" s="3">
        <v>1600000</v>
      </c>
      <c r="N720" s="3">
        <v>3200000</v>
      </c>
    </row>
    <row r="721" spans="4:14" x14ac:dyDescent="0.3">
      <c r="D721" s="3">
        <v>300000</v>
      </c>
      <c r="F721" s="3">
        <v>300000</v>
      </c>
      <c r="H721" s="3">
        <v>500000</v>
      </c>
      <c r="J721" s="3">
        <v>500000</v>
      </c>
      <c r="L721" s="3">
        <v>1600000</v>
      </c>
      <c r="N721" s="3">
        <v>3200000</v>
      </c>
    </row>
    <row r="722" spans="4:14" x14ac:dyDescent="0.3">
      <c r="D722" s="3">
        <v>300000</v>
      </c>
      <c r="F722" s="3">
        <v>300000</v>
      </c>
      <c r="H722" s="3">
        <v>500000</v>
      </c>
      <c r="J722" s="3">
        <v>500000</v>
      </c>
      <c r="L722" s="3">
        <v>1600000</v>
      </c>
      <c r="N722" s="3">
        <v>3200000</v>
      </c>
    </row>
    <row r="723" spans="4:14" x14ac:dyDescent="0.3">
      <c r="D723" s="3">
        <v>300000</v>
      </c>
      <c r="F723" s="3">
        <v>300000</v>
      </c>
      <c r="H723" s="3">
        <v>500000</v>
      </c>
      <c r="J723" s="3">
        <v>500000</v>
      </c>
      <c r="L723" s="3">
        <v>1600000</v>
      </c>
      <c r="N723" s="3">
        <v>3200000</v>
      </c>
    </row>
    <row r="724" spans="4:14" x14ac:dyDescent="0.3">
      <c r="D724" s="3">
        <v>300000</v>
      </c>
      <c r="F724" s="3">
        <v>300000</v>
      </c>
      <c r="H724" s="3">
        <v>500000</v>
      </c>
      <c r="J724" s="3">
        <v>500000</v>
      </c>
      <c r="L724" s="3">
        <v>1600000</v>
      </c>
      <c r="N724" s="3">
        <v>3200000</v>
      </c>
    </row>
    <row r="725" spans="4:14" x14ac:dyDescent="0.3">
      <c r="D725" s="3">
        <v>300000</v>
      </c>
      <c r="F725" s="3">
        <v>300000</v>
      </c>
      <c r="H725" s="3">
        <v>500000</v>
      </c>
      <c r="J725" s="3">
        <v>500000</v>
      </c>
      <c r="L725" s="3">
        <v>1600000</v>
      </c>
      <c r="N725" s="3">
        <v>3200000</v>
      </c>
    </row>
    <row r="726" spans="4:14" x14ac:dyDescent="0.3">
      <c r="D726" s="3">
        <v>300000</v>
      </c>
      <c r="F726" s="3">
        <v>300000</v>
      </c>
      <c r="H726" s="3">
        <v>500000</v>
      </c>
      <c r="J726" s="3">
        <v>500000</v>
      </c>
      <c r="L726" s="3">
        <v>1600000</v>
      </c>
      <c r="N726" s="3">
        <v>3200000</v>
      </c>
    </row>
    <row r="727" spans="4:14" x14ac:dyDescent="0.3">
      <c r="D727" s="3">
        <v>300000</v>
      </c>
      <c r="F727" s="3">
        <v>300000</v>
      </c>
      <c r="H727" s="3">
        <v>500000</v>
      </c>
      <c r="J727" s="3">
        <v>500000</v>
      </c>
      <c r="L727" s="3">
        <v>1600000</v>
      </c>
      <c r="N727" s="3">
        <v>3200000</v>
      </c>
    </row>
    <row r="728" spans="4:14" x14ac:dyDescent="0.3">
      <c r="D728" s="3">
        <v>300000</v>
      </c>
      <c r="F728" s="3">
        <v>300000</v>
      </c>
      <c r="H728" s="3">
        <v>500000</v>
      </c>
      <c r="J728" s="3">
        <v>500000</v>
      </c>
      <c r="L728" s="3">
        <v>1600000</v>
      </c>
      <c r="N728" s="3">
        <v>3200000</v>
      </c>
    </row>
    <row r="729" spans="4:14" x14ac:dyDescent="0.3">
      <c r="D729" s="3">
        <v>300000</v>
      </c>
      <c r="F729" s="3">
        <v>300000</v>
      </c>
      <c r="H729" s="3">
        <v>500000</v>
      </c>
      <c r="J729" s="3">
        <v>500000</v>
      </c>
      <c r="L729" s="3">
        <v>1600000</v>
      </c>
      <c r="N729" s="3">
        <v>3200000</v>
      </c>
    </row>
    <row r="730" spans="4:14" x14ac:dyDescent="0.3">
      <c r="D730" s="3">
        <v>300000</v>
      </c>
      <c r="F730" s="3">
        <v>300000</v>
      </c>
      <c r="H730" s="3">
        <v>500000</v>
      </c>
      <c r="J730" s="3">
        <v>500000</v>
      </c>
      <c r="L730" s="3">
        <v>1600000</v>
      </c>
      <c r="N730" s="3">
        <v>3200000</v>
      </c>
    </row>
    <row r="731" spans="4:14" x14ac:dyDescent="0.3">
      <c r="D731" s="3">
        <v>300000</v>
      </c>
      <c r="F731" s="3">
        <v>300000</v>
      </c>
      <c r="H731" s="3">
        <v>500000</v>
      </c>
      <c r="J731" s="3">
        <v>500000</v>
      </c>
      <c r="L731" s="3">
        <v>1600000</v>
      </c>
      <c r="N731" s="3">
        <v>3200000</v>
      </c>
    </row>
    <row r="732" spans="4:14" x14ac:dyDescent="0.3">
      <c r="D732" s="3">
        <v>300000</v>
      </c>
      <c r="F732" s="3">
        <v>300000</v>
      </c>
      <c r="H732" s="3">
        <v>500000</v>
      </c>
      <c r="J732" s="3">
        <v>500000</v>
      </c>
      <c r="L732" s="3">
        <v>1600000</v>
      </c>
      <c r="N732" s="3">
        <v>3200000</v>
      </c>
    </row>
    <row r="733" spans="4:14" x14ac:dyDescent="0.3">
      <c r="D733" s="3">
        <v>300000</v>
      </c>
      <c r="F733" s="3">
        <v>300000</v>
      </c>
      <c r="H733" s="3">
        <v>500000</v>
      </c>
      <c r="J733" s="3">
        <v>500000</v>
      </c>
      <c r="L733" s="3">
        <v>1600000</v>
      </c>
      <c r="N733" s="3">
        <v>3200000</v>
      </c>
    </row>
    <row r="734" spans="4:14" x14ac:dyDescent="0.3">
      <c r="D734" s="3">
        <v>300000</v>
      </c>
      <c r="F734" s="3">
        <v>300000</v>
      </c>
      <c r="H734" s="3">
        <v>500000</v>
      </c>
      <c r="J734" s="3">
        <v>500000</v>
      </c>
      <c r="L734" s="3">
        <v>1600000</v>
      </c>
      <c r="N734" s="3">
        <v>3200000</v>
      </c>
    </row>
    <row r="735" spans="4:14" x14ac:dyDescent="0.3">
      <c r="D735" s="3">
        <v>300000</v>
      </c>
      <c r="F735" s="3">
        <v>300000</v>
      </c>
      <c r="H735" s="3">
        <v>500000</v>
      </c>
      <c r="J735" s="3">
        <v>500000</v>
      </c>
      <c r="L735" s="3">
        <v>1600000</v>
      </c>
      <c r="N735" s="3">
        <v>3200000</v>
      </c>
    </row>
    <row r="736" spans="4:14" x14ac:dyDescent="0.3">
      <c r="D736" s="3">
        <v>300000</v>
      </c>
      <c r="F736" s="3">
        <v>300000</v>
      </c>
      <c r="H736" s="3">
        <v>500000</v>
      </c>
      <c r="J736" s="3">
        <v>500000</v>
      </c>
      <c r="L736" s="3">
        <v>1600000</v>
      </c>
      <c r="N736" s="3">
        <v>3200000</v>
      </c>
    </row>
    <row r="737" spans="4:14" x14ac:dyDescent="0.3">
      <c r="D737" s="3">
        <v>300000</v>
      </c>
      <c r="F737" s="3">
        <v>300000</v>
      </c>
      <c r="H737" s="3">
        <v>500000</v>
      </c>
      <c r="J737" s="3">
        <v>500000</v>
      </c>
      <c r="L737" s="3">
        <v>1600000</v>
      </c>
      <c r="N737" s="3">
        <v>3200000</v>
      </c>
    </row>
    <row r="738" spans="4:14" x14ac:dyDescent="0.3">
      <c r="D738" s="3">
        <v>300000</v>
      </c>
      <c r="F738" s="3">
        <v>300000</v>
      </c>
      <c r="H738" s="3">
        <v>500000</v>
      </c>
      <c r="J738" s="3">
        <v>500000</v>
      </c>
      <c r="L738" s="3">
        <v>1600000</v>
      </c>
      <c r="N738" s="3">
        <v>3200000</v>
      </c>
    </row>
    <row r="739" spans="4:14" x14ac:dyDescent="0.3">
      <c r="D739" s="3">
        <v>300000</v>
      </c>
      <c r="F739" s="3">
        <v>300000</v>
      </c>
      <c r="H739" s="3">
        <v>500000</v>
      </c>
      <c r="J739" s="3">
        <v>500000</v>
      </c>
      <c r="L739" s="3">
        <v>1600000</v>
      </c>
      <c r="N739" s="3">
        <v>3200000</v>
      </c>
    </row>
    <row r="740" spans="4:14" x14ac:dyDescent="0.3">
      <c r="D740" s="3">
        <v>300000</v>
      </c>
      <c r="F740" s="3">
        <v>300000</v>
      </c>
      <c r="H740" s="3">
        <v>500000</v>
      </c>
      <c r="J740" s="3">
        <v>500000</v>
      </c>
      <c r="L740" s="3">
        <v>1600000</v>
      </c>
      <c r="N740" s="3">
        <v>3200000</v>
      </c>
    </row>
    <row r="741" spans="4:14" x14ac:dyDescent="0.3">
      <c r="D741" s="3">
        <v>300000</v>
      </c>
      <c r="F741" s="3">
        <v>300000</v>
      </c>
      <c r="H741" s="3">
        <v>500000</v>
      </c>
      <c r="J741" s="3">
        <v>500000</v>
      </c>
      <c r="L741" s="3">
        <v>1600000</v>
      </c>
      <c r="N741" s="3">
        <v>3200000</v>
      </c>
    </row>
    <row r="742" spans="4:14" x14ac:dyDescent="0.3">
      <c r="D742" s="3">
        <v>300000</v>
      </c>
      <c r="F742" s="3">
        <v>300000</v>
      </c>
      <c r="H742" s="3">
        <v>500000</v>
      </c>
      <c r="J742" s="3">
        <v>500000</v>
      </c>
      <c r="L742" s="3">
        <v>1600000</v>
      </c>
      <c r="N742" s="3">
        <v>3200000</v>
      </c>
    </row>
    <row r="743" spans="4:14" x14ac:dyDescent="0.3">
      <c r="D743" s="3">
        <v>300000</v>
      </c>
      <c r="F743" s="3">
        <v>300000</v>
      </c>
      <c r="H743" s="3">
        <v>500000</v>
      </c>
      <c r="J743" s="3">
        <v>500000</v>
      </c>
      <c r="L743" s="3">
        <v>1600000</v>
      </c>
      <c r="N743" s="3">
        <v>3200000</v>
      </c>
    </row>
    <row r="744" spans="4:14" x14ac:dyDescent="0.3">
      <c r="D744" s="3">
        <v>300000</v>
      </c>
      <c r="F744" s="3">
        <v>300000</v>
      </c>
      <c r="H744" s="3">
        <v>500000</v>
      </c>
      <c r="J744" s="3">
        <v>500000</v>
      </c>
      <c r="L744" s="3">
        <v>1600000</v>
      </c>
      <c r="N744" s="3">
        <v>3200000</v>
      </c>
    </row>
    <row r="745" spans="4:14" x14ac:dyDescent="0.3">
      <c r="D745" s="3">
        <v>300000</v>
      </c>
      <c r="F745" s="3">
        <v>300000</v>
      </c>
      <c r="H745" s="3">
        <v>500000</v>
      </c>
      <c r="J745" s="3">
        <v>500000</v>
      </c>
      <c r="L745" s="3">
        <v>1600000</v>
      </c>
      <c r="N745" s="3">
        <v>3200000</v>
      </c>
    </row>
  </sheetData>
  <customSheetViews>
    <customSheetView guid="{7A5DC171-5B8D-4A9C-9792-47AC0B531261}">
      <selection activeCell="H5" sqref="H5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F44"/>
  <sheetViews>
    <sheetView workbookViewId="0">
      <selection activeCell="K13" sqref="K13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>
        <v>2022</v>
      </c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 t="s">
        <v>57</v>
      </c>
      <c r="D33" s="162"/>
      <c r="E33" s="157"/>
      <c r="F33" s="158"/>
    </row>
    <row r="34" spans="2:6" ht="11" thickBot="1" x14ac:dyDescent="0.35">
      <c r="B34" s="63" t="s">
        <v>37</v>
      </c>
      <c r="C34" s="84" t="s">
        <v>57</v>
      </c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F44"/>
  <sheetViews>
    <sheetView topLeftCell="A19" workbookViewId="0">
      <selection activeCell="B3" sqref="B3:B10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/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/>
      <c r="D33" s="162"/>
      <c r="E33" s="157"/>
      <c r="F33" s="158"/>
    </row>
    <row r="34" spans="2:6" ht="11" thickBot="1" x14ac:dyDescent="0.35">
      <c r="B34" s="63" t="s">
        <v>37</v>
      </c>
      <c r="C34" s="84"/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F44"/>
  <sheetViews>
    <sheetView workbookViewId="0">
      <selection activeCell="B3" sqref="B3:B10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/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 t="s">
        <v>57</v>
      </c>
      <c r="D33" s="162"/>
      <c r="E33" s="157"/>
      <c r="F33" s="158"/>
    </row>
    <row r="34" spans="2:6" ht="11" thickBot="1" x14ac:dyDescent="0.35">
      <c r="B34" s="63" t="s">
        <v>37</v>
      </c>
      <c r="C34" s="84" t="s">
        <v>57</v>
      </c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F44"/>
  <sheetViews>
    <sheetView workbookViewId="0">
      <selection activeCell="B3" sqref="B3:B10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/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 t="s">
        <v>57</v>
      </c>
      <c r="D33" s="162"/>
      <c r="E33" s="157"/>
      <c r="F33" s="158"/>
    </row>
    <row r="34" spans="2:6" ht="11" thickBot="1" x14ac:dyDescent="0.35">
      <c r="B34" s="63" t="s">
        <v>37</v>
      </c>
      <c r="C34" s="84" t="s">
        <v>57</v>
      </c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F44"/>
  <sheetViews>
    <sheetView workbookViewId="0">
      <selection activeCell="B3" sqref="B3:B10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/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/>
      <c r="D33" s="162"/>
      <c r="E33" s="157"/>
      <c r="F33" s="158"/>
    </row>
    <row r="34" spans="2:6" ht="11" thickBot="1" x14ac:dyDescent="0.35">
      <c r="B34" s="63" t="s">
        <v>37</v>
      </c>
      <c r="C34" s="84"/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2:F44"/>
  <sheetViews>
    <sheetView workbookViewId="0">
      <selection activeCell="B3" sqref="B3:B10"/>
    </sheetView>
  </sheetViews>
  <sheetFormatPr defaultColWidth="9.1796875" defaultRowHeight="10.5" x14ac:dyDescent="0.3"/>
  <cols>
    <col min="1" max="1" width="9.1796875" style="2"/>
    <col min="2" max="2" width="19.90625" style="2" bestFit="1" customWidth="1"/>
    <col min="3" max="3" width="8.26953125" style="2" bestFit="1" customWidth="1"/>
    <col min="4" max="4" width="8.81640625" style="2" bestFit="1" customWidth="1"/>
    <col min="5" max="5" width="8" style="2" bestFit="1" customWidth="1"/>
    <col min="6" max="16384" width="9.1796875" style="2"/>
  </cols>
  <sheetData>
    <row r="2" spans="2:6" ht="11" thickBot="1" x14ac:dyDescent="0.35"/>
    <row r="3" spans="2:6" ht="11" thickBot="1" x14ac:dyDescent="0.35">
      <c r="B3" s="164"/>
      <c r="C3" s="58" t="s">
        <v>23</v>
      </c>
      <c r="D3" s="167"/>
      <c r="E3" s="168"/>
      <c r="F3" s="169"/>
    </row>
    <row r="4" spans="2:6" ht="11" thickBot="1" x14ac:dyDescent="0.35">
      <c r="B4" s="165"/>
      <c r="C4" s="64" t="s">
        <v>24</v>
      </c>
      <c r="D4" s="170"/>
      <c r="E4" s="171"/>
      <c r="F4" s="160"/>
    </row>
    <row r="5" spans="2:6" ht="11" thickBot="1" x14ac:dyDescent="0.35">
      <c r="B5" s="165"/>
      <c r="C5" s="64" t="s">
        <v>28</v>
      </c>
      <c r="D5" s="159"/>
      <c r="E5" s="171"/>
      <c r="F5" s="160"/>
    </row>
    <row r="6" spans="2:6" ht="11" thickBot="1" x14ac:dyDescent="0.35">
      <c r="B6" s="165"/>
      <c r="C6" s="64" t="s">
        <v>29</v>
      </c>
      <c r="D6" s="170"/>
      <c r="E6" s="171"/>
      <c r="F6" s="160"/>
    </row>
    <row r="7" spans="2:6" ht="11" thickBot="1" x14ac:dyDescent="0.35">
      <c r="B7" s="165"/>
      <c r="C7" s="64"/>
      <c r="D7" s="159"/>
      <c r="E7" s="171"/>
      <c r="F7" s="160"/>
    </row>
    <row r="8" spans="2:6" ht="11" thickBot="1" x14ac:dyDescent="0.35">
      <c r="B8" s="165"/>
      <c r="C8" s="64" t="s">
        <v>25</v>
      </c>
      <c r="D8" s="159"/>
      <c r="E8" s="171"/>
      <c r="F8" s="160"/>
    </row>
    <row r="9" spans="2:6" ht="11" thickBot="1" x14ac:dyDescent="0.35">
      <c r="B9" s="165"/>
      <c r="C9" s="64" t="s">
        <v>26</v>
      </c>
      <c r="D9" s="159"/>
      <c r="E9" s="171"/>
      <c r="F9" s="160"/>
    </row>
    <row r="10" spans="2:6" ht="11" thickBot="1" x14ac:dyDescent="0.35">
      <c r="B10" s="166"/>
      <c r="C10" s="59"/>
      <c r="D10" s="159"/>
      <c r="E10" s="171"/>
      <c r="F10" s="160"/>
    </row>
    <row r="11" spans="2:6" ht="11" thickBot="1" x14ac:dyDescent="0.35">
      <c r="B11" s="58" t="s">
        <v>27</v>
      </c>
      <c r="C11" s="74" t="s">
        <v>2</v>
      </c>
      <c r="D11" s="74" t="s">
        <v>2</v>
      </c>
      <c r="E11" s="155"/>
      <c r="F11" s="156"/>
    </row>
    <row r="12" spans="2:6" ht="11" thickBot="1" x14ac:dyDescent="0.35">
      <c r="B12" s="59" t="s">
        <v>30</v>
      </c>
      <c r="C12" s="55"/>
      <c r="D12" s="55"/>
      <c r="E12" s="157"/>
      <c r="F12" s="158"/>
    </row>
    <row r="13" spans="2:6" ht="11" thickBot="1" x14ac:dyDescent="0.35">
      <c r="B13" s="60" t="s">
        <v>55</v>
      </c>
      <c r="C13" s="55"/>
      <c r="D13" s="55"/>
      <c r="E13" s="157"/>
      <c r="F13" s="158"/>
    </row>
    <row r="14" spans="2:6" x14ac:dyDescent="0.3">
      <c r="B14" s="61" t="s">
        <v>49</v>
      </c>
      <c r="C14" s="65"/>
      <c r="D14" s="161"/>
      <c r="E14" s="157"/>
      <c r="F14" s="158"/>
    </row>
    <row r="15" spans="2:6" x14ac:dyDescent="0.3">
      <c r="B15" s="62" t="s">
        <v>50</v>
      </c>
      <c r="C15" s="66"/>
      <c r="D15" s="162"/>
      <c r="E15" s="157"/>
      <c r="F15" s="158"/>
    </row>
    <row r="16" spans="2:6" x14ac:dyDescent="0.3">
      <c r="B16" s="62" t="s">
        <v>51</v>
      </c>
      <c r="C16" s="66"/>
      <c r="D16" s="162"/>
      <c r="E16" s="157"/>
      <c r="F16" s="158"/>
    </row>
    <row r="17" spans="2:6" x14ac:dyDescent="0.3">
      <c r="B17" s="62" t="s">
        <v>52</v>
      </c>
      <c r="C17" s="66"/>
      <c r="D17" s="162"/>
      <c r="E17" s="157"/>
      <c r="F17" s="158"/>
    </row>
    <row r="18" spans="2:6" x14ac:dyDescent="0.3">
      <c r="B18" s="62" t="s">
        <v>53</v>
      </c>
      <c r="C18" s="66"/>
      <c r="D18" s="162"/>
      <c r="E18" s="157"/>
      <c r="F18" s="158"/>
    </row>
    <row r="19" spans="2:6" x14ac:dyDescent="0.3">
      <c r="B19" s="62"/>
      <c r="C19" s="66"/>
      <c r="D19" s="162"/>
      <c r="E19" s="157"/>
      <c r="F19" s="158"/>
    </row>
    <row r="20" spans="2:6" x14ac:dyDescent="0.3">
      <c r="B20" s="62"/>
      <c r="C20" s="66"/>
      <c r="D20" s="162"/>
      <c r="E20" s="157"/>
      <c r="F20" s="158"/>
    </row>
    <row r="21" spans="2:6" ht="11" thickBot="1" x14ac:dyDescent="0.35">
      <c r="B21" s="63"/>
      <c r="C21" s="67"/>
      <c r="D21" s="163"/>
      <c r="E21" s="157"/>
      <c r="F21" s="158"/>
    </row>
    <row r="22" spans="2:6" ht="11" thickBot="1" x14ac:dyDescent="0.35">
      <c r="B22" s="64" t="s">
        <v>54</v>
      </c>
      <c r="C22" s="68">
        <f>SUM(C14:C21)</f>
        <v>0</v>
      </c>
      <c r="D22" s="68">
        <f>C22</f>
        <v>0</v>
      </c>
      <c r="E22" s="157"/>
      <c r="F22" s="158"/>
    </row>
    <row r="23" spans="2:6" ht="11" thickBot="1" x14ac:dyDescent="0.35">
      <c r="B23" s="64" t="s">
        <v>56</v>
      </c>
      <c r="C23" s="82" t="s">
        <v>57</v>
      </c>
      <c r="D23" s="69"/>
      <c r="E23" s="157"/>
      <c r="F23" s="158"/>
    </row>
    <row r="24" spans="2:6" ht="11" thickBot="1" x14ac:dyDescent="0.35">
      <c r="B24" s="64" t="s">
        <v>42</v>
      </c>
      <c r="C24" s="69"/>
      <c r="D24" s="69"/>
      <c r="E24" s="157"/>
      <c r="F24" s="158"/>
    </row>
    <row r="25" spans="2:6" ht="11" thickBot="1" x14ac:dyDescent="0.35">
      <c r="B25" s="64" t="s">
        <v>31</v>
      </c>
      <c r="C25" s="69"/>
      <c r="D25" s="69"/>
      <c r="E25" s="157"/>
      <c r="F25" s="158"/>
    </row>
    <row r="26" spans="2:6" x14ac:dyDescent="0.3">
      <c r="B26" s="61" t="s">
        <v>32</v>
      </c>
      <c r="C26" s="65"/>
      <c r="D26" s="161"/>
      <c r="E26" s="157"/>
      <c r="F26" s="158"/>
    </row>
    <row r="27" spans="2:6" ht="11" thickBot="1" x14ac:dyDescent="0.35">
      <c r="B27" s="63" t="s">
        <v>33</v>
      </c>
      <c r="C27" s="67"/>
      <c r="D27" s="163"/>
      <c r="E27" s="157"/>
      <c r="F27" s="158"/>
    </row>
    <row r="28" spans="2:6" ht="11" thickBot="1" x14ac:dyDescent="0.35">
      <c r="B28" s="64" t="s">
        <v>40</v>
      </c>
      <c r="C28" s="69">
        <f>SUM(C26:C27)</f>
        <v>0</v>
      </c>
      <c r="D28" s="69">
        <f>-C28</f>
        <v>0</v>
      </c>
      <c r="E28" s="157"/>
      <c r="F28" s="158"/>
    </row>
    <row r="29" spans="2:6" ht="11" thickBot="1" x14ac:dyDescent="0.35">
      <c r="B29" s="59"/>
      <c r="C29" s="69"/>
      <c r="D29" s="69"/>
      <c r="E29" s="157"/>
      <c r="F29" s="158"/>
    </row>
    <row r="30" spans="2:6" ht="11" thickBot="1" x14ac:dyDescent="0.35">
      <c r="B30" s="64" t="s">
        <v>34</v>
      </c>
      <c r="C30" s="69"/>
      <c r="D30" s="69"/>
      <c r="E30" s="157"/>
      <c r="F30" s="158"/>
    </row>
    <row r="31" spans="2:6" x14ac:dyDescent="0.3">
      <c r="B31" s="61" t="s">
        <v>35</v>
      </c>
      <c r="C31" s="65"/>
      <c r="D31" s="161"/>
      <c r="E31" s="157"/>
      <c r="F31" s="158"/>
    </row>
    <row r="32" spans="2:6" x14ac:dyDescent="0.3">
      <c r="B32" s="62" t="s">
        <v>38</v>
      </c>
      <c r="C32" s="66"/>
      <c r="D32" s="162"/>
      <c r="E32" s="157"/>
      <c r="F32" s="158"/>
    </row>
    <row r="33" spans="2:6" x14ac:dyDescent="0.3">
      <c r="B33" s="62" t="s">
        <v>36</v>
      </c>
      <c r="C33" s="83"/>
      <c r="D33" s="162"/>
      <c r="E33" s="157"/>
      <c r="F33" s="158"/>
    </row>
    <row r="34" spans="2:6" ht="11" thickBot="1" x14ac:dyDescent="0.35">
      <c r="B34" s="63" t="s">
        <v>37</v>
      </c>
      <c r="C34" s="84"/>
      <c r="D34" s="163"/>
      <c r="E34" s="157"/>
      <c r="F34" s="158"/>
    </row>
    <row r="35" spans="2:6" ht="11" thickBot="1" x14ac:dyDescent="0.35">
      <c r="B35" s="64" t="s">
        <v>41</v>
      </c>
      <c r="C35" s="69">
        <f>SUM(C31:C34)</f>
        <v>0</v>
      </c>
      <c r="D35" s="73">
        <f>-C35</f>
        <v>0</v>
      </c>
      <c r="E35" s="157"/>
      <c r="F35" s="158"/>
    </row>
    <row r="36" spans="2:6" x14ac:dyDescent="0.3">
      <c r="B36" s="61"/>
      <c r="C36" s="56"/>
      <c r="D36" s="70"/>
      <c r="E36" s="157"/>
      <c r="F36" s="158"/>
    </row>
    <row r="37" spans="2:6" ht="11" thickBot="1" x14ac:dyDescent="0.35">
      <c r="B37" s="63"/>
      <c r="C37" s="57"/>
      <c r="D37" s="71"/>
      <c r="E37" s="157"/>
      <c r="F37" s="158"/>
    </row>
    <row r="38" spans="2:6" ht="11" thickBot="1" x14ac:dyDescent="0.35">
      <c r="B38" s="64" t="s">
        <v>39</v>
      </c>
      <c r="C38" s="55"/>
      <c r="D38" s="72">
        <f>SUM(D22:D35)</f>
        <v>0</v>
      </c>
      <c r="E38" s="159"/>
      <c r="F38" s="160"/>
    </row>
    <row r="40" spans="2:6" x14ac:dyDescent="0.3">
      <c r="B40" s="1" t="s">
        <v>43</v>
      </c>
      <c r="D40" s="1" t="s">
        <v>48</v>
      </c>
    </row>
    <row r="41" spans="2:6" x14ac:dyDescent="0.3">
      <c r="B41" s="2" t="s">
        <v>44</v>
      </c>
      <c r="D41" s="2" t="s">
        <v>44</v>
      </c>
    </row>
    <row r="42" spans="2:6" x14ac:dyDescent="0.3">
      <c r="B42" s="2" t="s">
        <v>45</v>
      </c>
      <c r="D42" s="2" t="s">
        <v>45</v>
      </c>
    </row>
    <row r="43" spans="2:6" x14ac:dyDescent="0.3">
      <c r="B43" s="2" t="s">
        <v>46</v>
      </c>
      <c r="D43" s="2" t="s">
        <v>46</v>
      </c>
    </row>
    <row r="44" spans="2:6" x14ac:dyDescent="0.3">
      <c r="B44" s="2" t="s">
        <v>47</v>
      </c>
      <c r="D44" s="2" t="s">
        <v>47</v>
      </c>
    </row>
  </sheetData>
  <mergeCells count="13">
    <mergeCell ref="E11:F38"/>
    <mergeCell ref="D14:D21"/>
    <mergeCell ref="D26:D27"/>
    <mergeCell ref="D31:D34"/>
    <mergeCell ref="B3:B10"/>
    <mergeCell ref="D3:F3"/>
    <mergeCell ref="D4:F4"/>
    <mergeCell ref="D5:F5"/>
    <mergeCell ref="D6:F6"/>
    <mergeCell ref="D7:F7"/>
    <mergeCell ref="D8:F8"/>
    <mergeCell ref="D9:F9"/>
    <mergeCell ref="D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1_Payslip_120k net</vt:lpstr>
      <vt:lpstr>2_Payslip_150k net</vt:lpstr>
      <vt:lpstr>3_Payslip_200k net</vt:lpstr>
      <vt:lpstr>Payroll_Raw</vt:lpstr>
      <vt:lpstr>PAYE</vt:lpstr>
      <vt:lpstr>Tax Table - DONT ALTER</vt:lpstr>
      <vt:lpstr>5_Payslip</vt:lpstr>
      <vt:lpstr>6_Payslip</vt:lpstr>
      <vt:lpstr>7_Payslip</vt:lpstr>
      <vt:lpstr>8_Payslip</vt:lpstr>
      <vt:lpstr>9_Payslip</vt:lpstr>
      <vt:lpstr>10_Payslip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</dc:creator>
  <cp:lastModifiedBy>Deji Adeshile</cp:lastModifiedBy>
  <cp:lastPrinted>2022-02-28T13:22:37Z</cp:lastPrinted>
  <dcterms:created xsi:type="dcterms:W3CDTF">2012-09-12T08:58:33Z</dcterms:created>
  <dcterms:modified xsi:type="dcterms:W3CDTF">2023-01-20T10:11:31Z</dcterms:modified>
</cp:coreProperties>
</file>