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5619B3-502B-4785-81A7-AA6C0443A076}" xr6:coauthVersionLast="47" xr6:coauthVersionMax="47" xr10:uidLastSave="{00000000-0000-0000-0000-000000000000}"/>
  <bookViews>
    <workbookView xWindow="-110" yWindow="-110" windowWidth="19420" windowHeight="10420" xr2:uid="{046564AD-F190-EA44-AAD4-FE5091F1090E}"/>
  </bookViews>
  <sheets>
    <sheet name="Planning" sheetId="3" r:id="rId1"/>
    <sheet name="Repor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J9" i="1"/>
  <c r="J10" i="1"/>
  <c r="F30" i="3"/>
  <c r="F28" i="3"/>
  <c r="F26" i="3"/>
  <c r="F25" i="3"/>
  <c r="F23" i="3"/>
  <c r="F22" i="3"/>
  <c r="F21" i="3"/>
  <c r="F19" i="3"/>
  <c r="F18" i="3"/>
  <c r="F17" i="3"/>
  <c r="F16" i="3"/>
  <c r="F14" i="3"/>
  <c r="F13" i="3"/>
  <c r="F12" i="3"/>
  <c r="F10" i="3"/>
  <c r="F9" i="3"/>
  <c r="F8" i="3"/>
  <c r="J5" i="3"/>
  <c r="K5" i="3" s="1"/>
  <c r="J8" i="1"/>
  <c r="J12" i="1"/>
  <c r="K14" i="1"/>
  <c r="J5" i="1"/>
  <c r="K5" i="1" s="1"/>
  <c r="J28" i="1" s="1"/>
  <c r="F9" i="1"/>
  <c r="F10" i="1"/>
  <c r="F12" i="1"/>
  <c r="F13" i="1"/>
  <c r="J13" i="1" s="1"/>
  <c r="F14" i="1"/>
  <c r="F16" i="1"/>
  <c r="Z16" i="1" s="1"/>
  <c r="F17" i="1"/>
  <c r="Z17" i="1" s="1"/>
  <c r="F18" i="1"/>
  <c r="Z18" i="1" s="1"/>
  <c r="F19" i="1"/>
  <c r="F21" i="1"/>
  <c r="Z21" i="1" s="1"/>
  <c r="F22" i="1"/>
  <c r="Z22" i="1" s="1"/>
  <c r="F23" i="1"/>
  <c r="Z23" i="1" s="1"/>
  <c r="F25" i="1"/>
  <c r="Z25" i="1" s="1"/>
  <c r="F26" i="1"/>
  <c r="Z26" i="1" s="1"/>
  <c r="F28" i="1"/>
  <c r="Z28" i="1" s="1"/>
  <c r="F30" i="1"/>
  <c r="F8" i="1"/>
  <c r="L5" i="3" l="1"/>
  <c r="J3" i="3"/>
  <c r="J17" i="1"/>
  <c r="Z19" i="1"/>
  <c r="J19" i="1"/>
  <c r="J14" i="1"/>
  <c r="J23" i="1"/>
  <c r="J16" i="1"/>
  <c r="J22" i="1"/>
  <c r="J21" i="1"/>
  <c r="J18" i="1"/>
  <c r="J26" i="1"/>
  <c r="J25" i="1"/>
  <c r="Z13" i="1"/>
  <c r="Z12" i="1"/>
  <c r="Z14" i="1"/>
  <c r="J30" i="1"/>
  <c r="Z30" i="1"/>
  <c r="J3" i="1"/>
  <c r="L5" i="1"/>
  <c r="K30" i="1" s="1"/>
  <c r="M5" i="3" l="1"/>
  <c r="M5" i="1"/>
  <c r="K17" i="1"/>
  <c r="K28" i="1"/>
  <c r="K26" i="1"/>
  <c r="K25" i="1"/>
  <c r="K18" i="1"/>
  <c r="K22" i="1"/>
  <c r="K19" i="1"/>
  <c r="K16" i="1"/>
  <c r="K23" i="1"/>
  <c r="K21" i="1"/>
  <c r="K12" i="1"/>
  <c r="K13" i="1"/>
  <c r="N5" i="3" l="1"/>
  <c r="N5" i="1"/>
  <c r="L28" i="1"/>
  <c r="L23" i="1"/>
  <c r="L21" i="1"/>
  <c r="L22" i="1"/>
  <c r="L17" i="1"/>
  <c r="L26" i="1"/>
  <c r="L25" i="1"/>
  <c r="L18" i="1"/>
  <c r="L19" i="1"/>
  <c r="L16" i="1"/>
  <c r="L13" i="1"/>
  <c r="L12" i="1"/>
  <c r="L14" i="1"/>
  <c r="L30" i="1"/>
  <c r="O5" i="3" l="1"/>
  <c r="O5" i="1"/>
  <c r="M22" i="1"/>
  <c r="M19" i="1"/>
  <c r="M16" i="1"/>
  <c r="M26" i="1"/>
  <c r="M25" i="1"/>
  <c r="M28" i="1"/>
  <c r="M23" i="1"/>
  <c r="M21" i="1"/>
  <c r="M17" i="1"/>
  <c r="M18" i="1"/>
  <c r="M13" i="1"/>
  <c r="M30" i="1"/>
  <c r="M12" i="1"/>
  <c r="M14" i="1"/>
  <c r="P5" i="3" l="1"/>
  <c r="N3" i="3"/>
  <c r="N26" i="1"/>
  <c r="N25" i="1"/>
  <c r="N18" i="1"/>
  <c r="N19" i="1"/>
  <c r="N22" i="1"/>
  <c r="N16" i="1"/>
  <c r="N28" i="1"/>
  <c r="N23" i="1"/>
  <c r="N21" i="1"/>
  <c r="N17" i="1"/>
  <c r="N13" i="1"/>
  <c r="N14" i="1"/>
  <c r="N12" i="1"/>
  <c r="N30" i="1"/>
  <c r="P5" i="1"/>
  <c r="N3" i="1"/>
  <c r="Q5" i="3" l="1"/>
  <c r="Q5" i="1"/>
  <c r="O17" i="1"/>
  <c r="O28" i="1"/>
  <c r="O26" i="1"/>
  <c r="O25" i="1"/>
  <c r="O18" i="1"/>
  <c r="O22" i="1"/>
  <c r="O19" i="1"/>
  <c r="O16" i="1"/>
  <c r="O23" i="1"/>
  <c r="O21" i="1"/>
  <c r="O14" i="1"/>
  <c r="O13" i="1"/>
  <c r="O12" i="1"/>
  <c r="O30" i="1"/>
  <c r="R5" i="3" l="1"/>
  <c r="R5" i="1"/>
  <c r="P28" i="1"/>
  <c r="P23" i="1"/>
  <c r="P21" i="1"/>
  <c r="P22" i="1"/>
  <c r="P17" i="1"/>
  <c r="P26" i="1"/>
  <c r="P25" i="1"/>
  <c r="P18" i="1"/>
  <c r="P19" i="1"/>
  <c r="P16" i="1"/>
  <c r="P13" i="1"/>
  <c r="P12" i="1"/>
  <c r="P14" i="1"/>
  <c r="P30" i="1"/>
  <c r="S5" i="3" l="1"/>
  <c r="S5" i="1"/>
  <c r="Q22" i="1"/>
  <c r="Q19" i="1"/>
  <c r="Q16" i="1"/>
  <c r="Q26" i="1"/>
  <c r="Q25" i="1"/>
  <c r="Q28" i="1"/>
  <c r="Q23" i="1"/>
  <c r="Q21" i="1"/>
  <c r="Q17" i="1"/>
  <c r="Q18" i="1"/>
  <c r="Q13" i="1"/>
  <c r="Q30" i="1"/>
  <c r="Q12" i="1"/>
  <c r="Q14" i="1"/>
  <c r="T5" i="3" l="1"/>
  <c r="T5" i="1"/>
  <c r="R26" i="1"/>
  <c r="R25" i="1"/>
  <c r="R18" i="1"/>
  <c r="R19" i="1"/>
  <c r="R16" i="1"/>
  <c r="R22" i="1"/>
  <c r="R28" i="1"/>
  <c r="R23" i="1"/>
  <c r="R21" i="1"/>
  <c r="R17" i="1"/>
  <c r="R13" i="1"/>
  <c r="R14" i="1"/>
  <c r="R12" i="1"/>
  <c r="R30" i="1"/>
  <c r="S3" i="3" l="1"/>
  <c r="U5" i="3"/>
  <c r="S17" i="1"/>
  <c r="S28" i="1"/>
  <c r="S26" i="1"/>
  <c r="S25" i="1"/>
  <c r="S18" i="1"/>
  <c r="S22" i="1"/>
  <c r="S19" i="1"/>
  <c r="S16" i="1"/>
  <c r="S23" i="1"/>
  <c r="S21" i="1"/>
  <c r="S14" i="1"/>
  <c r="S30" i="1"/>
  <c r="S13" i="1"/>
  <c r="S12" i="1"/>
  <c r="S3" i="1"/>
  <c r="U5" i="1"/>
  <c r="V5" i="3" l="1"/>
  <c r="V5" i="1"/>
  <c r="T28" i="1"/>
  <c r="T23" i="1"/>
  <c r="T21" i="1"/>
  <c r="T22" i="1"/>
  <c r="T17" i="1"/>
  <c r="T26" i="1"/>
  <c r="T25" i="1"/>
  <c r="T18" i="1"/>
  <c r="T19" i="1"/>
  <c r="T16" i="1"/>
  <c r="T13" i="1"/>
  <c r="T12" i="1"/>
  <c r="T14" i="1"/>
  <c r="T30" i="1"/>
  <c r="W5" i="3" l="1"/>
  <c r="W5" i="1"/>
  <c r="U22" i="1"/>
  <c r="U19" i="1"/>
  <c r="U16" i="1"/>
  <c r="U26" i="1"/>
  <c r="U25" i="1"/>
  <c r="U28" i="1"/>
  <c r="U23" i="1"/>
  <c r="U21" i="1"/>
  <c r="U17" i="1"/>
  <c r="U18" i="1"/>
  <c r="U13" i="1"/>
  <c r="U14" i="1"/>
  <c r="U12" i="1"/>
  <c r="U30" i="1"/>
  <c r="X5" i="3" l="1"/>
  <c r="X5" i="1"/>
  <c r="V26" i="1"/>
  <c r="V25" i="1"/>
  <c r="V18" i="1"/>
  <c r="V19" i="1"/>
  <c r="V22" i="1"/>
  <c r="V16" i="1"/>
  <c r="V28" i="1"/>
  <c r="V23" i="1"/>
  <c r="V21" i="1"/>
  <c r="V17" i="1"/>
  <c r="V30" i="1"/>
  <c r="V13" i="1"/>
  <c r="V14" i="1"/>
  <c r="V12" i="1"/>
  <c r="Y5" i="3" l="1"/>
  <c r="W3" i="3"/>
  <c r="W17" i="1"/>
  <c r="W28" i="1"/>
  <c r="W26" i="1"/>
  <c r="W25" i="1"/>
  <c r="W18" i="1"/>
  <c r="W22" i="1"/>
  <c r="W19" i="1"/>
  <c r="W16" i="1"/>
  <c r="W23" i="1"/>
  <c r="W21" i="1"/>
  <c r="W30" i="1"/>
  <c r="W12" i="1"/>
  <c r="W14" i="1"/>
  <c r="W13" i="1"/>
  <c r="Y5" i="1"/>
  <c r="W3" i="1"/>
  <c r="Z5" i="3" l="1"/>
  <c r="Z5" i="1"/>
  <c r="X28" i="1"/>
  <c r="X23" i="1"/>
  <c r="X21" i="1"/>
  <c r="X17" i="1"/>
  <c r="X26" i="1"/>
  <c r="X25" i="1"/>
  <c r="X18" i="1"/>
  <c r="X22" i="1"/>
  <c r="X19" i="1"/>
  <c r="X16" i="1"/>
  <c r="X30" i="1"/>
  <c r="X14" i="1"/>
  <c r="X13" i="1"/>
  <c r="X12" i="1"/>
  <c r="Y22" i="1" l="1"/>
  <c r="Y19" i="1"/>
  <c r="Y16" i="1"/>
  <c r="Y26" i="1"/>
  <c r="Y25" i="1"/>
  <c r="Y28" i="1"/>
  <c r="Y23" i="1"/>
  <c r="Y21" i="1"/>
  <c r="Y17" i="1"/>
  <c r="Y18" i="1"/>
  <c r="Y14" i="1"/>
  <c r="Y12" i="1"/>
  <c r="Y13" i="1"/>
  <c r="Y30" i="1"/>
</calcChain>
</file>

<file path=xl/sharedStrings.xml><?xml version="1.0" encoding="utf-8"?>
<sst xmlns="http://schemas.openxmlformats.org/spreadsheetml/2006/main" count="174" uniqueCount="61">
  <si>
    <t>Project Start Date:</t>
  </si>
  <si>
    <t>Project Name:</t>
  </si>
  <si>
    <t>week starting</t>
  </si>
  <si>
    <t>#</t>
  </si>
  <si>
    <t>Activity</t>
  </si>
  <si>
    <t>Days</t>
  </si>
  <si>
    <t>Status</t>
  </si>
  <si>
    <t>% Done</t>
  </si>
  <si>
    <t>Project Kickoff</t>
  </si>
  <si>
    <t>Requirement Gathering</t>
  </si>
  <si>
    <t>Requirement Analysis and Approval</t>
  </si>
  <si>
    <t>User Interface (UI) Design</t>
  </si>
  <si>
    <t>User Experience (UX) Design</t>
  </si>
  <si>
    <t>Prototype Review and Approval</t>
  </si>
  <si>
    <t>Frontend Development</t>
  </si>
  <si>
    <t>Backend Development</t>
  </si>
  <si>
    <t>Database Setup &amp; Integration</t>
  </si>
  <si>
    <t>API Development and Integration</t>
  </si>
  <si>
    <t>System Testing</t>
  </si>
  <si>
    <t>Quality Assurance (QA)</t>
  </si>
  <si>
    <t>Bug Fixing and Refinement</t>
  </si>
  <si>
    <t>User Acceptance Testing (UAT)</t>
  </si>
  <si>
    <t>UAT Feedback and Final Adjustments</t>
  </si>
  <si>
    <t>Final Deployment</t>
  </si>
  <si>
    <t>Post-Deployment Support &amp; Monitoring</t>
  </si>
  <si>
    <t xml:space="preserve"> Planning &amp; Requirements</t>
  </si>
  <si>
    <t xml:space="preserve"> Design &amp; Prototyping</t>
  </si>
  <si>
    <t xml:space="preserve"> Development</t>
  </si>
  <si>
    <t xml:space="preserve"> Testing &amp; QA</t>
  </si>
  <si>
    <t xml:space="preserve"> User Acceptance Testing</t>
  </si>
  <si>
    <t xml:space="preserve"> Deployment</t>
  </si>
  <si>
    <t xml:space="preserve"> Post-Deployment Support</t>
  </si>
  <si>
    <t>Team</t>
  </si>
  <si>
    <t>FAAN &amp; TecBlu</t>
  </si>
  <si>
    <t>TecBlu</t>
  </si>
  <si>
    <t>TecBlu &amp; FAAN</t>
  </si>
  <si>
    <t>FAAN</t>
  </si>
  <si>
    <t>Start Date</t>
  </si>
  <si>
    <t>End Date</t>
  </si>
  <si>
    <t>Not Started</t>
  </si>
  <si>
    <t>In Progress</t>
  </si>
  <si>
    <t>Awaiting Review</t>
  </si>
  <si>
    <t>Complete</t>
  </si>
  <si>
    <t xml:space="preserve"> REGISTRATION PORTAL</t>
  </si>
  <si>
    <t>WK 1</t>
  </si>
  <si>
    <t>WK2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</si>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</sst>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;@"/>
  </numFmts>
  <fonts count="10">
    <font>
      <sz val="12"/>
      <color theme="1"/>
      <name val="Aptos Narrow"/>
      <family val="2"/>
      <scheme val="minor"/>
    </font>
    <font>
      <sz val="12"/>
      <color theme="1"/>
      <name val="Baskerville"/>
      <family val="1"/>
    </font>
    <font>
      <b/>
      <sz val="12"/>
      <color theme="1"/>
      <name val="Baskerville"/>
      <family val="1"/>
    </font>
    <font>
      <b/>
      <sz val="13"/>
      <color rgb="FF000000"/>
      <name val="Baskerville"/>
      <family val="1"/>
    </font>
    <font>
      <sz val="13"/>
      <color rgb="FF000000"/>
      <name val="Baskerville"/>
      <family val="1"/>
    </font>
    <font>
      <sz val="12"/>
      <color rgb="FF000000"/>
      <name val="Baskerville"/>
      <family val="1"/>
    </font>
    <font>
      <sz val="13"/>
      <color rgb="FF000000"/>
      <name val="Windings"/>
    </font>
    <font>
      <sz val="12"/>
      <color theme="1"/>
      <name val="Wingdings"/>
      <charset val="2"/>
    </font>
    <font>
      <sz val="8"/>
      <name val="Aptos Narrow"/>
      <family val="2"/>
      <scheme val="minor"/>
    </font>
    <font>
      <sz val="12"/>
      <color theme="0"/>
      <name val="Baskerville"/>
      <family val="1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7">
    <border>
      <left/>
      <right/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ck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ck">
        <color theme="2"/>
      </bottom>
      <diagonal/>
    </border>
    <border>
      <left style="thin">
        <color theme="2"/>
      </left>
      <right/>
      <top style="thin">
        <color theme="2"/>
      </top>
      <bottom style="thick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5" fontId="1" fillId="0" borderId="0" xfId="0" applyNumberFormat="1" applyFont="1"/>
    <xf numFmtId="15" fontId="1" fillId="0" borderId="0" xfId="0" applyNumberFormat="1" applyFont="1" applyAlignment="1">
      <alignment horizontal="left" vertical="center"/>
    </xf>
    <xf numFmtId="15" fontId="1" fillId="0" borderId="4" xfId="0" applyNumberFormat="1" applyFont="1" applyBorder="1"/>
    <xf numFmtId="15" fontId="1" fillId="0" borderId="5" xfId="0" applyNumberFormat="1" applyFont="1" applyBorder="1"/>
    <xf numFmtId="15" fontId="1" fillId="0" borderId="6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4" fillId="0" borderId="12" xfId="0" applyFont="1" applyBorder="1"/>
    <xf numFmtId="0" fontId="4" fillId="0" borderId="14" xfId="0" applyFont="1" applyBorder="1"/>
    <xf numFmtId="0" fontId="3" fillId="0" borderId="13" xfId="0" applyFont="1" applyBorder="1"/>
    <xf numFmtId="0" fontId="1" fillId="0" borderId="9" xfId="0" applyFont="1" applyBorder="1" applyAlignment="1">
      <alignment horizontal="right"/>
    </xf>
    <xf numFmtId="165" fontId="1" fillId="0" borderId="9" xfId="0" applyNumberFormat="1" applyFont="1" applyBorder="1"/>
    <xf numFmtId="0" fontId="1" fillId="6" borderId="9" xfId="0" applyFont="1" applyFill="1" applyBorder="1"/>
    <xf numFmtId="9" fontId="1" fillId="0" borderId="9" xfId="0" applyNumberFormat="1" applyFont="1" applyBorder="1"/>
    <xf numFmtId="0" fontId="1" fillId="6" borderId="9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top"/>
    </xf>
    <xf numFmtId="164" fontId="1" fillId="5" borderId="2" xfId="0" applyNumberFormat="1" applyFont="1" applyFill="1" applyBorder="1" applyAlignment="1">
      <alignment horizontal="center"/>
    </xf>
    <xf numFmtId="164" fontId="1" fillId="5" borderId="3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top"/>
    </xf>
    <xf numFmtId="0" fontId="1" fillId="0" borderId="15" xfId="0" applyFont="1" applyBorder="1"/>
    <xf numFmtId="0" fontId="1" fillId="0" borderId="0" xfId="0" applyFont="1" applyBorder="1"/>
    <xf numFmtId="0" fontId="1" fillId="0" borderId="16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165" fontId="1" fillId="0" borderId="8" xfId="0" applyNumberFormat="1" applyFont="1" applyBorder="1"/>
    <xf numFmtId="0" fontId="1" fillId="6" borderId="8" xfId="0" applyFont="1" applyFill="1" applyBorder="1" applyAlignment="1">
      <alignment horizontal="center"/>
    </xf>
    <xf numFmtId="0" fontId="1" fillId="6" borderId="8" xfId="0" applyFont="1" applyFill="1" applyBorder="1"/>
    <xf numFmtId="9" fontId="1" fillId="0" borderId="8" xfId="0" applyNumberFormat="1" applyFont="1" applyBorder="1"/>
    <xf numFmtId="0" fontId="1" fillId="0" borderId="18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4" fillId="0" borderId="13" xfId="0" applyFont="1" applyBorder="1"/>
    <xf numFmtId="0" fontId="1" fillId="0" borderId="10" xfId="0" applyFont="1" applyBorder="1" applyAlignment="1">
      <alignment horizontal="right"/>
    </xf>
    <xf numFmtId="165" fontId="1" fillId="0" borderId="10" xfId="0" applyNumberFormat="1" applyFont="1" applyBorder="1"/>
    <xf numFmtId="0" fontId="1" fillId="6" borderId="10" xfId="0" applyFont="1" applyFill="1" applyBorder="1" applyAlignment="1">
      <alignment horizontal="center"/>
    </xf>
    <xf numFmtId="0" fontId="1" fillId="6" borderId="10" xfId="0" applyFont="1" applyFill="1" applyBorder="1"/>
    <xf numFmtId="9" fontId="1" fillId="0" borderId="10" xfId="0" applyNumberFormat="1" applyFont="1" applyBorder="1"/>
    <xf numFmtId="0" fontId="6" fillId="0" borderId="13" xfId="0" applyFont="1" applyBorder="1"/>
    <xf numFmtId="0" fontId="1" fillId="0" borderId="8" xfId="0" applyFont="1" applyBorder="1"/>
    <xf numFmtId="0" fontId="4" fillId="0" borderId="17" xfId="0" applyFont="1" applyBorder="1"/>
    <xf numFmtId="0" fontId="5" fillId="0" borderId="19" xfId="0" applyFont="1" applyBorder="1" applyAlignment="1">
      <alignment horizontal="right"/>
    </xf>
    <xf numFmtId="0" fontId="4" fillId="0" borderId="18" xfId="0" applyFont="1" applyBorder="1"/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/>
    <xf numFmtId="0" fontId="1" fillId="6" borderId="0" xfId="0" applyFont="1" applyFill="1" applyBorder="1" applyAlignment="1">
      <alignment horizontal="center"/>
    </xf>
    <xf numFmtId="9" fontId="1" fillId="0" borderId="0" xfId="0" applyNumberFormat="1" applyFont="1" applyBorder="1"/>
    <xf numFmtId="0" fontId="4" fillId="0" borderId="11" xfId="0" applyFont="1" applyBorder="1"/>
    <xf numFmtId="0" fontId="2" fillId="7" borderId="20" xfId="0" applyFont="1" applyFill="1" applyBorder="1" applyAlignment="1">
      <alignment horizontal="center"/>
    </xf>
    <xf numFmtId="0" fontId="3" fillId="7" borderId="21" xfId="0" applyFont="1" applyFill="1" applyBorder="1"/>
    <xf numFmtId="0" fontId="1" fillId="7" borderId="22" xfId="0" applyFont="1" applyFill="1" applyBorder="1"/>
    <xf numFmtId="0" fontId="1" fillId="7" borderId="23" xfId="0" applyFont="1" applyFill="1" applyBorder="1"/>
    <xf numFmtId="0" fontId="1" fillId="7" borderId="23" xfId="0" applyFont="1" applyFill="1" applyBorder="1" applyAlignment="1">
      <alignment horizontal="center"/>
    </xf>
    <xf numFmtId="0" fontId="1" fillId="7" borderId="24" xfId="0" applyFont="1" applyFill="1" applyBorder="1"/>
    <xf numFmtId="0" fontId="2" fillId="3" borderId="20" xfId="0" applyFont="1" applyFill="1" applyBorder="1" applyAlignment="1">
      <alignment horizontal="center"/>
    </xf>
    <xf numFmtId="0" fontId="3" fillId="3" borderId="21" xfId="0" applyFont="1" applyFill="1" applyBorder="1"/>
    <xf numFmtId="0" fontId="1" fillId="3" borderId="23" xfId="0" applyFont="1" applyFill="1" applyBorder="1" applyAlignment="1">
      <alignment horizontal="right"/>
    </xf>
    <xf numFmtId="165" fontId="1" fillId="3" borderId="23" xfId="0" applyNumberFormat="1" applyFont="1" applyFill="1" applyBorder="1"/>
    <xf numFmtId="0" fontId="1" fillId="3" borderId="23" xfId="0" applyFont="1" applyFill="1" applyBorder="1" applyAlignment="1">
      <alignment horizontal="center"/>
    </xf>
    <xf numFmtId="0" fontId="1" fillId="3" borderId="23" xfId="0" applyFont="1" applyFill="1" applyBorder="1"/>
    <xf numFmtId="0" fontId="7" fillId="3" borderId="23" xfId="0" applyFont="1" applyFill="1" applyBorder="1"/>
    <xf numFmtId="0" fontId="1" fillId="3" borderId="24" xfId="0" applyFont="1" applyFill="1" applyBorder="1"/>
    <xf numFmtId="0" fontId="2" fillId="8" borderId="20" xfId="0" applyFont="1" applyFill="1" applyBorder="1" applyAlignment="1">
      <alignment horizontal="center"/>
    </xf>
    <xf numFmtId="0" fontId="3" fillId="8" borderId="21" xfId="0" applyFont="1" applyFill="1" applyBorder="1"/>
    <xf numFmtId="0" fontId="1" fillId="8" borderId="23" xfId="0" applyFont="1" applyFill="1" applyBorder="1" applyAlignment="1">
      <alignment horizontal="right"/>
    </xf>
    <xf numFmtId="165" fontId="1" fillId="8" borderId="23" xfId="0" applyNumberFormat="1" applyFont="1" applyFill="1" applyBorder="1"/>
    <xf numFmtId="0" fontId="1" fillId="8" borderId="23" xfId="0" applyFont="1" applyFill="1" applyBorder="1" applyAlignment="1">
      <alignment horizontal="center"/>
    </xf>
    <xf numFmtId="0" fontId="1" fillId="8" borderId="23" xfId="0" applyFont="1" applyFill="1" applyBorder="1"/>
    <xf numFmtId="0" fontId="1" fillId="8" borderId="24" xfId="0" applyFont="1" applyFill="1" applyBorder="1"/>
    <xf numFmtId="0" fontId="2" fillId="9" borderId="20" xfId="0" applyFont="1" applyFill="1" applyBorder="1" applyAlignment="1">
      <alignment horizontal="center"/>
    </xf>
    <xf numFmtId="0" fontId="3" fillId="9" borderId="21" xfId="0" applyFont="1" applyFill="1" applyBorder="1"/>
    <xf numFmtId="0" fontId="1" fillId="9" borderId="23" xfId="0" applyFont="1" applyFill="1" applyBorder="1" applyAlignment="1">
      <alignment horizontal="right"/>
    </xf>
    <xf numFmtId="165" fontId="1" fillId="9" borderId="23" xfId="0" applyNumberFormat="1" applyFont="1" applyFill="1" applyBorder="1"/>
    <xf numFmtId="0" fontId="1" fillId="9" borderId="23" xfId="0" applyFont="1" applyFill="1" applyBorder="1" applyAlignment="1">
      <alignment horizontal="center"/>
    </xf>
    <xf numFmtId="0" fontId="1" fillId="9" borderId="23" xfId="0" applyFont="1" applyFill="1" applyBorder="1"/>
    <xf numFmtId="0" fontId="1" fillId="9" borderId="24" xfId="0" applyFont="1" applyFill="1" applyBorder="1"/>
    <xf numFmtId="0" fontId="2" fillId="10" borderId="20" xfId="0" applyFont="1" applyFill="1" applyBorder="1" applyAlignment="1">
      <alignment horizontal="center"/>
    </xf>
    <xf numFmtId="0" fontId="3" fillId="10" borderId="21" xfId="0" applyFont="1" applyFill="1" applyBorder="1"/>
    <xf numFmtId="0" fontId="1" fillId="10" borderId="23" xfId="0" applyFont="1" applyFill="1" applyBorder="1" applyAlignment="1">
      <alignment horizontal="right"/>
    </xf>
    <xf numFmtId="165" fontId="1" fillId="10" borderId="23" xfId="0" applyNumberFormat="1" applyFont="1" applyFill="1" applyBorder="1"/>
    <xf numFmtId="0" fontId="1" fillId="10" borderId="23" xfId="0" applyFont="1" applyFill="1" applyBorder="1" applyAlignment="1">
      <alignment horizontal="center"/>
    </xf>
    <xf numFmtId="0" fontId="1" fillId="10" borderId="23" xfId="0" applyFont="1" applyFill="1" applyBorder="1"/>
    <xf numFmtId="0" fontId="1" fillId="10" borderId="24" xfId="0" applyFont="1" applyFill="1" applyBorder="1"/>
    <xf numFmtId="0" fontId="2" fillId="11" borderId="20" xfId="0" applyFont="1" applyFill="1" applyBorder="1" applyAlignment="1">
      <alignment horizontal="center" vertical="center"/>
    </xf>
    <xf numFmtId="0" fontId="3" fillId="11" borderId="21" xfId="0" applyFont="1" applyFill="1" applyBorder="1"/>
    <xf numFmtId="0" fontId="1" fillId="11" borderId="23" xfId="0" applyFont="1" applyFill="1" applyBorder="1" applyAlignment="1">
      <alignment horizontal="right"/>
    </xf>
    <xf numFmtId="165" fontId="1" fillId="11" borderId="23" xfId="0" applyNumberFormat="1" applyFont="1" applyFill="1" applyBorder="1"/>
    <xf numFmtId="0" fontId="1" fillId="11" borderId="23" xfId="0" applyFont="1" applyFill="1" applyBorder="1" applyAlignment="1">
      <alignment horizontal="center"/>
    </xf>
    <xf numFmtId="0" fontId="1" fillId="11" borderId="23" xfId="0" applyFont="1" applyFill="1" applyBorder="1"/>
    <xf numFmtId="0" fontId="1" fillId="11" borderId="24" xfId="0" applyFont="1" applyFill="1" applyBorder="1"/>
    <xf numFmtId="0" fontId="2" fillId="12" borderId="20" xfId="0" applyFont="1" applyFill="1" applyBorder="1" applyAlignment="1">
      <alignment horizontal="center"/>
    </xf>
    <xf numFmtId="0" fontId="3" fillId="12" borderId="21" xfId="0" applyFont="1" applyFill="1" applyBorder="1"/>
    <xf numFmtId="0" fontId="1" fillId="12" borderId="23" xfId="0" applyFont="1" applyFill="1" applyBorder="1" applyAlignment="1">
      <alignment horizontal="right"/>
    </xf>
    <xf numFmtId="165" fontId="1" fillId="12" borderId="23" xfId="0" applyNumberFormat="1" applyFont="1" applyFill="1" applyBorder="1"/>
    <xf numFmtId="0" fontId="1" fillId="12" borderId="23" xfId="0" applyFont="1" applyFill="1" applyBorder="1" applyAlignment="1">
      <alignment horizontal="center"/>
    </xf>
    <xf numFmtId="0" fontId="1" fillId="12" borderId="23" xfId="0" applyFont="1" applyFill="1" applyBorder="1"/>
    <xf numFmtId="0" fontId="1" fillId="12" borderId="24" xfId="0" applyFont="1" applyFill="1" applyBorder="1"/>
    <xf numFmtId="0" fontId="1" fillId="7" borderId="25" xfId="0" applyFont="1" applyFill="1" applyBorder="1"/>
    <xf numFmtId="0" fontId="1" fillId="3" borderId="26" xfId="0" applyFont="1" applyFill="1" applyBorder="1"/>
    <xf numFmtId="9" fontId="1" fillId="0" borderId="7" xfId="0" applyNumberFormat="1" applyFont="1" applyBorder="1"/>
    <xf numFmtId="0" fontId="9" fillId="0" borderId="15" xfId="0" applyFont="1" applyBorder="1"/>
  </cellXfs>
  <cellStyles count="1">
    <cellStyle name="Normal" xfId="0" builtinId="0"/>
  </cellStyles>
  <dxfs count="548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theme="2" tint="-0.499984740745262"/>
      </font>
      <fill>
        <patternFill>
          <bgColor theme="2" tint="-0.49998474074526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theme="2" tint="-0.499984740745262"/>
      </font>
      <fill>
        <patternFill>
          <bgColor theme="2" tint="-0.49998474074526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3" tint="0.49998474074526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3" tint="0.499984740745262"/>
        </patternFill>
      </fill>
    </dxf>
    <dxf>
      <font>
        <color theme="3" tint="0.24994659260841701"/>
      </font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3" tint="0.499984740745262"/>
        </patternFill>
      </fill>
    </dxf>
    <dxf>
      <fill>
        <patternFill>
          <fgColor theme="0"/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3" tint="0.499984740745262"/>
        </patternFill>
      </fill>
    </dxf>
    <dxf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2488-4CAD-4961-866F-B5BF7855BD42}">
  <dimension ref="A2:AK45"/>
  <sheetViews>
    <sheetView tabSelected="1" topLeftCell="C1" zoomScale="50" zoomScaleNormal="50" workbookViewId="0">
      <selection activeCell="G30" sqref="G30"/>
    </sheetView>
  </sheetViews>
  <sheetFormatPr defaultColWidth="10.84375" defaultRowHeight="15.5"/>
  <cols>
    <col min="1" max="1" width="10" style="1" customWidth="1"/>
    <col min="2" max="2" width="42.765625" style="1" customWidth="1"/>
    <col min="3" max="3" width="21.3046875" style="1" customWidth="1"/>
    <col min="4" max="4" width="13.69140625" style="1" customWidth="1"/>
    <col min="5" max="5" width="11.23046875" style="1" customWidth="1"/>
    <col min="6" max="6" width="7.53515625" style="1" customWidth="1"/>
    <col min="7" max="7" width="14.3046875" style="1" customWidth="1"/>
    <col min="8" max="8" width="9.3828125" style="1" customWidth="1"/>
    <col min="9" max="9" width="2.3046875" style="1" hidden="1" customWidth="1"/>
    <col min="10" max="10" width="8.84375" style="1" customWidth="1"/>
    <col min="11" max="16384" width="10.84375" style="1"/>
  </cols>
  <sheetData>
    <row r="2" spans="1:37"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37">
      <c r="B3" s="2" t="s">
        <v>0</v>
      </c>
      <c r="C3" s="4">
        <v>45538</v>
      </c>
      <c r="D3" s="2"/>
      <c r="E3" s="2"/>
      <c r="F3" s="2"/>
      <c r="G3" s="2"/>
      <c r="J3" s="23">
        <f>K5</f>
        <v>45545</v>
      </c>
      <c r="K3" s="24"/>
      <c r="L3" s="24"/>
      <c r="M3" s="24"/>
      <c r="N3" s="25">
        <f>O5</f>
        <v>45573</v>
      </c>
      <c r="O3" s="25"/>
      <c r="P3" s="25"/>
      <c r="Q3" s="25"/>
      <c r="R3" s="25"/>
      <c r="S3" s="26">
        <f>T5</f>
        <v>45608</v>
      </c>
      <c r="T3" s="26"/>
      <c r="U3" s="26"/>
      <c r="V3" s="26"/>
      <c r="W3" s="20">
        <f>X5</f>
        <v>45636</v>
      </c>
      <c r="X3" s="20"/>
      <c r="Y3" s="20"/>
      <c r="Z3" s="21"/>
    </row>
    <row r="4" spans="1:37" ht="24" customHeight="1">
      <c r="B4" s="2" t="s">
        <v>1</v>
      </c>
      <c r="C4" s="27" t="s">
        <v>43</v>
      </c>
      <c r="D4" s="27"/>
      <c r="E4" s="27"/>
      <c r="F4" s="27"/>
      <c r="G4" s="27"/>
      <c r="H4" s="28" t="s">
        <v>2</v>
      </c>
      <c r="I4" s="28"/>
      <c r="J4" s="1" t="s">
        <v>44</v>
      </c>
      <c r="K4" s="1" t="s">
        <v>45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  <c r="Y4" s="1" t="s">
        <v>59</v>
      </c>
      <c r="Z4" s="1" t="s">
        <v>60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ht="16" customHeight="1" thickBot="1">
      <c r="B5" s="2"/>
      <c r="C5" s="18"/>
      <c r="D5" s="18"/>
      <c r="E5" s="18"/>
      <c r="F5" s="18"/>
      <c r="G5" s="18"/>
      <c r="H5" s="19"/>
      <c r="I5" s="19"/>
      <c r="J5" s="5">
        <f>C3</f>
        <v>45538</v>
      </c>
      <c r="K5" s="6">
        <f>J5+7</f>
        <v>45545</v>
      </c>
      <c r="L5" s="6">
        <f t="shared" ref="L5:Z5" si="0">K5+7</f>
        <v>45552</v>
      </c>
      <c r="M5" s="6">
        <f t="shared" si="0"/>
        <v>45559</v>
      </c>
      <c r="N5" s="6">
        <f t="shared" si="0"/>
        <v>45566</v>
      </c>
      <c r="O5" s="6">
        <f t="shared" si="0"/>
        <v>45573</v>
      </c>
      <c r="P5" s="6">
        <f t="shared" si="0"/>
        <v>45580</v>
      </c>
      <c r="Q5" s="6">
        <f t="shared" si="0"/>
        <v>45587</v>
      </c>
      <c r="R5" s="6">
        <f t="shared" si="0"/>
        <v>45594</v>
      </c>
      <c r="S5" s="6">
        <f t="shared" si="0"/>
        <v>45601</v>
      </c>
      <c r="T5" s="6">
        <f t="shared" si="0"/>
        <v>45608</v>
      </c>
      <c r="U5" s="6">
        <f t="shared" si="0"/>
        <v>45615</v>
      </c>
      <c r="V5" s="6">
        <f t="shared" si="0"/>
        <v>45622</v>
      </c>
      <c r="W5" s="6">
        <f t="shared" si="0"/>
        <v>45629</v>
      </c>
      <c r="X5" s="6">
        <f t="shared" si="0"/>
        <v>45636</v>
      </c>
      <c r="Y5" s="6">
        <f t="shared" si="0"/>
        <v>45643</v>
      </c>
      <c r="Z5" s="7">
        <f t="shared" si="0"/>
        <v>45650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6.5" thickTop="1" thickBot="1">
      <c r="A6" s="39" t="s">
        <v>3</v>
      </c>
      <c r="B6" s="40" t="s">
        <v>4</v>
      </c>
      <c r="C6" s="32" t="s">
        <v>32</v>
      </c>
      <c r="D6" s="32" t="s">
        <v>37</v>
      </c>
      <c r="E6" s="32" t="s">
        <v>38</v>
      </c>
      <c r="F6" s="32" t="s">
        <v>5</v>
      </c>
      <c r="G6" s="32" t="s">
        <v>6</v>
      </c>
      <c r="H6" s="33" t="s">
        <v>7</v>
      </c>
    </row>
    <row r="7" spans="1:37" ht="17" thickBot="1">
      <c r="A7" s="57">
        <v>1</v>
      </c>
      <c r="B7" s="58" t="s">
        <v>25</v>
      </c>
      <c r="C7" s="59"/>
      <c r="D7" s="60"/>
      <c r="E7" s="60"/>
      <c r="F7" s="61"/>
      <c r="G7" s="60"/>
      <c r="H7" s="106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2"/>
      <c r="AA7" s="30"/>
    </row>
    <row r="8" spans="1:37" ht="16.5">
      <c r="A8" s="48">
        <v>1.1000000000000001</v>
      </c>
      <c r="B8" s="49" t="s">
        <v>8</v>
      </c>
      <c r="C8" s="34" t="s">
        <v>33</v>
      </c>
      <c r="D8" s="35">
        <v>45560</v>
      </c>
      <c r="E8" s="35">
        <v>45657</v>
      </c>
      <c r="F8" s="36">
        <f>E8-D8</f>
        <v>97</v>
      </c>
      <c r="G8" s="37" t="s">
        <v>42</v>
      </c>
      <c r="H8" s="108">
        <v>0.5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</row>
    <row r="9" spans="1:37" ht="16.5">
      <c r="A9" s="8">
        <v>1.2</v>
      </c>
      <c r="B9" s="10" t="s">
        <v>9</v>
      </c>
      <c r="C9" s="13" t="s">
        <v>33</v>
      </c>
      <c r="D9" s="14">
        <v>45546</v>
      </c>
      <c r="E9" s="14">
        <v>45583</v>
      </c>
      <c r="F9" s="17">
        <f t="shared" ref="F9:F30" si="1">E9-D9</f>
        <v>37</v>
      </c>
      <c r="G9" s="15" t="s">
        <v>42</v>
      </c>
      <c r="H9" s="108">
        <v>0.75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</row>
    <row r="10" spans="1:37" ht="17" thickBot="1">
      <c r="A10" s="9">
        <v>1.3</v>
      </c>
      <c r="B10" s="41" t="s">
        <v>10</v>
      </c>
      <c r="C10" s="42" t="s">
        <v>33</v>
      </c>
      <c r="D10" s="43">
        <v>45553</v>
      </c>
      <c r="E10" s="43">
        <v>45604</v>
      </c>
      <c r="F10" s="44">
        <f t="shared" si="1"/>
        <v>51</v>
      </c>
      <c r="G10" s="45" t="s">
        <v>42</v>
      </c>
      <c r="H10" s="108">
        <v>0.2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0"/>
    </row>
    <row r="11" spans="1:37" ht="17" thickBot="1">
      <c r="A11" s="63">
        <v>2</v>
      </c>
      <c r="B11" s="64" t="s">
        <v>26</v>
      </c>
      <c r="C11" s="65"/>
      <c r="D11" s="66"/>
      <c r="E11" s="66"/>
      <c r="F11" s="67"/>
      <c r="G11" s="68"/>
      <c r="H11" s="107"/>
      <c r="I11" s="68"/>
      <c r="J11" s="69"/>
      <c r="K11" s="69"/>
      <c r="L11" s="69"/>
      <c r="M11" s="69"/>
      <c r="N11" s="69"/>
      <c r="O11" s="69"/>
      <c r="P11" s="69"/>
      <c r="Q11" s="68"/>
      <c r="R11" s="68"/>
      <c r="S11" s="68"/>
      <c r="T11" s="68"/>
      <c r="U11" s="68"/>
      <c r="V11" s="68"/>
      <c r="W11" s="68"/>
      <c r="X11" s="68"/>
      <c r="Y11" s="68"/>
      <c r="Z11" s="70"/>
      <c r="AA11" s="30"/>
    </row>
    <row r="12" spans="1:37" ht="16.5">
      <c r="A12" s="48">
        <v>2.1</v>
      </c>
      <c r="B12" s="49" t="s">
        <v>11</v>
      </c>
      <c r="C12" s="34" t="s">
        <v>34</v>
      </c>
      <c r="D12" s="35">
        <v>45538</v>
      </c>
      <c r="E12" s="35">
        <v>45604</v>
      </c>
      <c r="F12" s="36">
        <f t="shared" si="1"/>
        <v>66</v>
      </c>
      <c r="G12" s="48" t="s">
        <v>40</v>
      </c>
      <c r="H12" s="38">
        <v>0.7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0"/>
    </row>
    <row r="13" spans="1:37" ht="16.5">
      <c r="A13" s="8">
        <v>2.2000000000000002</v>
      </c>
      <c r="B13" s="10" t="s">
        <v>12</v>
      </c>
      <c r="C13" s="13" t="s">
        <v>34</v>
      </c>
      <c r="D13" s="14">
        <v>45538</v>
      </c>
      <c r="E13" s="14">
        <v>45604</v>
      </c>
      <c r="F13" s="17">
        <f t="shared" si="1"/>
        <v>66</v>
      </c>
      <c r="G13" s="8" t="s">
        <v>40</v>
      </c>
      <c r="H13" s="16">
        <v>0.85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30"/>
    </row>
    <row r="14" spans="1:37" ht="17" thickBot="1">
      <c r="A14" s="9">
        <v>2.2999999999999998</v>
      </c>
      <c r="B14" s="47" t="s">
        <v>13</v>
      </c>
      <c r="C14" s="42" t="s">
        <v>33</v>
      </c>
      <c r="D14" s="43">
        <v>45538</v>
      </c>
      <c r="E14" s="43">
        <v>45585</v>
      </c>
      <c r="F14" s="44">
        <f t="shared" si="1"/>
        <v>47</v>
      </c>
      <c r="G14" s="9" t="s">
        <v>42</v>
      </c>
      <c r="H14" s="46">
        <v>1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30"/>
    </row>
    <row r="15" spans="1:37" ht="17" thickBot="1">
      <c r="A15" s="71">
        <v>3</v>
      </c>
      <c r="B15" s="72" t="s">
        <v>27</v>
      </c>
      <c r="C15" s="73"/>
      <c r="D15" s="74"/>
      <c r="E15" s="74"/>
      <c r="F15" s="75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7"/>
      <c r="AA15" s="30"/>
    </row>
    <row r="16" spans="1:37" ht="16.5">
      <c r="A16" s="48">
        <v>3.1</v>
      </c>
      <c r="B16" s="49" t="s">
        <v>14</v>
      </c>
      <c r="C16" s="34" t="s">
        <v>34</v>
      </c>
      <c r="D16" s="35">
        <v>45574</v>
      </c>
      <c r="E16" s="35">
        <v>45583</v>
      </c>
      <c r="F16" s="36">
        <f t="shared" si="1"/>
        <v>9</v>
      </c>
      <c r="G16" s="48" t="s">
        <v>42</v>
      </c>
      <c r="H16" s="38">
        <v>1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30"/>
    </row>
    <row r="17" spans="1:27" ht="16.5">
      <c r="A17" s="8">
        <v>3.2</v>
      </c>
      <c r="B17" s="10" t="s">
        <v>15</v>
      </c>
      <c r="C17" s="13" t="s">
        <v>34</v>
      </c>
      <c r="D17" s="14">
        <v>45540</v>
      </c>
      <c r="E17" s="14">
        <v>45577</v>
      </c>
      <c r="F17" s="17">
        <f t="shared" si="1"/>
        <v>37</v>
      </c>
      <c r="G17" s="8" t="s">
        <v>42</v>
      </c>
      <c r="H17" s="16">
        <v>1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30"/>
    </row>
    <row r="18" spans="1:27" ht="16.5">
      <c r="A18" s="8">
        <v>3.3</v>
      </c>
      <c r="B18" s="10" t="s">
        <v>16</v>
      </c>
      <c r="C18" s="13" t="s">
        <v>34</v>
      </c>
      <c r="D18" s="14">
        <v>45541</v>
      </c>
      <c r="E18" s="14">
        <v>45544</v>
      </c>
      <c r="F18" s="17">
        <f t="shared" si="1"/>
        <v>3</v>
      </c>
      <c r="G18" s="8" t="s">
        <v>42</v>
      </c>
      <c r="H18" s="16">
        <v>1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</row>
    <row r="19" spans="1:27" ht="17" thickBot="1">
      <c r="A19" s="9">
        <v>3.4</v>
      </c>
      <c r="B19" s="41" t="s">
        <v>17</v>
      </c>
      <c r="C19" s="42" t="s">
        <v>34</v>
      </c>
      <c r="D19" s="43">
        <v>45570</v>
      </c>
      <c r="E19" s="43">
        <v>45606</v>
      </c>
      <c r="F19" s="44">
        <f t="shared" si="1"/>
        <v>36</v>
      </c>
      <c r="G19" s="9" t="s">
        <v>42</v>
      </c>
      <c r="H19" s="46">
        <v>1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</row>
    <row r="20" spans="1:27" ht="17" thickBot="1">
      <c r="A20" s="78">
        <v>4</v>
      </c>
      <c r="B20" s="79" t="s">
        <v>28</v>
      </c>
      <c r="C20" s="80"/>
      <c r="D20" s="81"/>
      <c r="E20" s="81"/>
      <c r="F20" s="82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4"/>
      <c r="AA20" s="30"/>
    </row>
    <row r="21" spans="1:27" ht="16.5">
      <c r="A21" s="48">
        <v>4.0999999999999996</v>
      </c>
      <c r="B21" s="49" t="s">
        <v>18</v>
      </c>
      <c r="C21" s="34" t="s">
        <v>34</v>
      </c>
      <c r="D21" s="35">
        <v>45580</v>
      </c>
      <c r="E21" s="35">
        <v>45604</v>
      </c>
      <c r="F21" s="36">
        <f t="shared" si="1"/>
        <v>24</v>
      </c>
      <c r="G21" s="48" t="s">
        <v>40</v>
      </c>
      <c r="H21" s="38">
        <v>0.7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27" ht="16.5">
      <c r="A22" s="8">
        <v>4.2</v>
      </c>
      <c r="B22" s="10" t="s">
        <v>19</v>
      </c>
      <c r="C22" s="13" t="s">
        <v>33</v>
      </c>
      <c r="D22" s="14">
        <v>45580</v>
      </c>
      <c r="E22" s="14">
        <v>45604</v>
      </c>
      <c r="F22" s="17">
        <f t="shared" si="1"/>
        <v>24</v>
      </c>
      <c r="G22" s="8" t="s">
        <v>40</v>
      </c>
      <c r="H22" s="16">
        <v>0.6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27" ht="17" thickBot="1">
      <c r="A23" s="9">
        <v>4.3</v>
      </c>
      <c r="B23" s="41" t="s">
        <v>20</v>
      </c>
      <c r="C23" s="42" t="s">
        <v>34</v>
      </c>
      <c r="D23" s="43">
        <v>45594</v>
      </c>
      <c r="E23" s="43">
        <v>45604</v>
      </c>
      <c r="F23" s="44">
        <f t="shared" si="1"/>
        <v>10</v>
      </c>
      <c r="G23" s="9" t="s">
        <v>40</v>
      </c>
      <c r="H23" s="46">
        <v>0.6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27" ht="17" thickBot="1">
      <c r="A24" s="85">
        <v>5</v>
      </c>
      <c r="B24" s="86" t="s">
        <v>29</v>
      </c>
      <c r="C24" s="87"/>
      <c r="D24" s="88"/>
      <c r="E24" s="88"/>
      <c r="F24" s="8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1"/>
      <c r="AA24" s="30"/>
    </row>
    <row r="25" spans="1:27" ht="16.5">
      <c r="A25" s="48">
        <v>5.0999999999999996</v>
      </c>
      <c r="B25" s="49" t="s">
        <v>21</v>
      </c>
      <c r="C25" s="50" t="s">
        <v>33</v>
      </c>
      <c r="D25" s="35">
        <v>45562</v>
      </c>
      <c r="E25" s="35">
        <v>45604</v>
      </c>
      <c r="F25" s="36">
        <f t="shared" si="1"/>
        <v>42</v>
      </c>
      <c r="G25" s="48" t="s">
        <v>40</v>
      </c>
      <c r="H25" s="38">
        <v>0.8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27" ht="17" thickBot="1">
      <c r="A26" s="9">
        <v>5.2</v>
      </c>
      <c r="B26" s="41" t="s">
        <v>22</v>
      </c>
      <c r="C26" s="42" t="s">
        <v>36</v>
      </c>
      <c r="D26" s="43">
        <v>45592</v>
      </c>
      <c r="E26" s="43">
        <v>45604</v>
      </c>
      <c r="F26" s="44">
        <f t="shared" si="1"/>
        <v>12</v>
      </c>
      <c r="G26" s="9" t="s">
        <v>40</v>
      </c>
      <c r="H26" s="46">
        <v>0.7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27" ht="17" thickBot="1">
      <c r="A27" s="92">
        <v>6</v>
      </c>
      <c r="B27" s="93" t="s">
        <v>30</v>
      </c>
      <c r="C27" s="94"/>
      <c r="D27" s="95"/>
      <c r="E27" s="95"/>
      <c r="F27" s="96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8"/>
      <c r="AA27" s="30"/>
    </row>
    <row r="28" spans="1:27" ht="17" thickBot="1">
      <c r="A28" s="30">
        <v>6.1</v>
      </c>
      <c r="B28" s="51" t="s">
        <v>23</v>
      </c>
      <c r="C28" s="52" t="s">
        <v>35</v>
      </c>
      <c r="D28" s="53">
        <v>45580</v>
      </c>
      <c r="E28" s="53">
        <v>45657</v>
      </c>
      <c r="F28" s="54">
        <f t="shared" si="1"/>
        <v>77</v>
      </c>
      <c r="G28" s="30" t="s">
        <v>41</v>
      </c>
      <c r="H28" s="55">
        <v>0.1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0"/>
    </row>
    <row r="29" spans="1:27" ht="17" thickBot="1">
      <c r="A29" s="99">
        <v>7</v>
      </c>
      <c r="B29" s="100" t="s">
        <v>31</v>
      </c>
      <c r="C29" s="101"/>
      <c r="D29" s="102"/>
      <c r="E29" s="102"/>
      <c r="F29" s="103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5"/>
      <c r="AA29" s="30"/>
    </row>
    <row r="30" spans="1:27" ht="16.5">
      <c r="A30" s="48">
        <v>7.1</v>
      </c>
      <c r="B30" s="56" t="s">
        <v>24</v>
      </c>
      <c r="C30" s="34" t="s">
        <v>34</v>
      </c>
      <c r="D30" s="35">
        <v>45574</v>
      </c>
      <c r="E30" s="35">
        <v>45634</v>
      </c>
      <c r="F30" s="36">
        <f t="shared" si="1"/>
        <v>60</v>
      </c>
      <c r="G30" s="48" t="s">
        <v>39</v>
      </c>
      <c r="H30" s="38">
        <v>0.5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27" ht="16.5">
      <c r="A31" s="8"/>
      <c r="B31" s="12"/>
      <c r="C31" s="13"/>
      <c r="D31" s="8"/>
      <c r="E31" s="8"/>
      <c r="F31" s="17"/>
      <c r="G31" s="8"/>
      <c r="H31" s="8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7" ht="16.5">
      <c r="A32" s="8"/>
      <c r="B32" s="11"/>
      <c r="C32" s="8"/>
      <c r="D32" s="8"/>
      <c r="E32" s="8"/>
      <c r="F32" s="17"/>
      <c r="G32" s="8"/>
      <c r="H32" s="8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>
      <c r="A33" s="9"/>
      <c r="B33" s="9"/>
      <c r="C33" s="9"/>
      <c r="D33" s="9"/>
      <c r="E33" s="9"/>
      <c r="F33" s="9"/>
      <c r="G33" s="9"/>
      <c r="H33" s="9"/>
      <c r="J33" s="30"/>
      <c r="K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>
      <c r="J34" s="30"/>
      <c r="K34" s="30"/>
    </row>
    <row r="35" spans="1:26">
      <c r="J35" s="30"/>
    </row>
    <row r="37" spans="1:26">
      <c r="J37" s="30"/>
    </row>
    <row r="39" spans="1:26">
      <c r="J39" s="30"/>
    </row>
    <row r="41" spans="1:26">
      <c r="J41" s="30"/>
    </row>
    <row r="43" spans="1:26">
      <c r="J43" s="30"/>
    </row>
    <row r="45" spans="1:26">
      <c r="J45" s="30"/>
    </row>
  </sheetData>
  <mergeCells count="7">
    <mergeCell ref="J2:Z2"/>
    <mergeCell ref="J3:M3"/>
    <mergeCell ref="N3:R3"/>
    <mergeCell ref="S3:V3"/>
    <mergeCell ref="W3:Z3"/>
    <mergeCell ref="C4:G4"/>
    <mergeCell ref="H4:I4"/>
  </mergeCells>
  <conditionalFormatting sqref="G8:G30">
    <cfRule type="containsText" dxfId="540" priority="37" operator="containsText" text="Complete">
      <formula>NOT(ISERROR(SEARCH("Complete",G8)))</formula>
    </cfRule>
    <cfRule type="containsText" dxfId="539" priority="38" operator="containsText" text="Not Started">
      <formula>NOT(ISERROR(SEARCH("Not Started",G8)))</formula>
    </cfRule>
  </conditionalFormatting>
  <conditionalFormatting sqref="G9:G10">
    <cfRule type="containsText" dxfId="538" priority="32" operator="containsText" text="In Progress">
      <formula>NOT(ISERROR(SEARCH("In Progress",G9)))</formula>
    </cfRule>
  </conditionalFormatting>
  <conditionalFormatting sqref="G12:G13">
    <cfRule type="containsText" dxfId="537" priority="35" operator="containsText" text="In Progress">
      <formula>NOT(ISERROR(SEARCH("In Progress",G12)))</formula>
    </cfRule>
  </conditionalFormatting>
  <conditionalFormatting sqref="G21:G23">
    <cfRule type="containsText" dxfId="536" priority="34" operator="containsText" text="In Progress">
      <formula>NOT(ISERROR(SEARCH("In Progress",G21)))</formula>
    </cfRule>
  </conditionalFormatting>
  <conditionalFormatting sqref="G25:G26">
    <cfRule type="containsText" dxfId="535" priority="33" operator="containsText" text="In Progress">
      <formula>NOT(ISERROR(SEARCH("In Progress",G25)))</formula>
    </cfRule>
  </conditionalFormatting>
  <conditionalFormatting sqref="J30:Z30">
    <cfRule type="expression" dxfId="534" priority="19">
      <formula>AND(K$5&gt;=$D30,K$5&lt;=$D30+($F30*$H30))</formula>
    </cfRule>
    <cfRule type="expression" dxfId="533" priority="20">
      <formula>AND(K$5&gt;=$D25,K$5&lt;=$D25+($F25*$H25)-1)</formula>
    </cfRule>
    <cfRule type="containsText" dxfId="532" priority="36" operator="containsText" text="In Progress">
      <formula>NOT(ISERROR(SEARCH("In Progress",J30)))</formula>
    </cfRule>
  </conditionalFormatting>
  <conditionalFormatting sqref="J16:Z19">
    <cfRule type="expression" dxfId="531" priority="24">
      <formula>AND(K$5&gt;=$D16,K$5&lt;=$D16+($F16*$H16)-1)</formula>
    </cfRule>
    <cfRule type="expression" dxfId="530" priority="31">
      <formula>AND(J$5&gt;=$D16,J$5&lt;=$E16)</formula>
    </cfRule>
  </conditionalFormatting>
  <conditionalFormatting sqref="J21:Z23">
    <cfRule type="expression" dxfId="529" priority="23">
      <formula>AND(K$5&gt;=$D21,K$5&lt;=$D21+($F21*$H21)-1)</formula>
    </cfRule>
    <cfRule type="expression" dxfId="528" priority="30">
      <formula>AND(J$5&gt;=$D21,J$5&lt;=$E21)</formula>
    </cfRule>
  </conditionalFormatting>
  <conditionalFormatting sqref="J25:Z26">
    <cfRule type="expression" dxfId="527" priority="22">
      <formula>AND(K$5&gt;=$D25,K$5&lt;=$D25+($F25*$H25)-1)</formula>
    </cfRule>
    <cfRule type="expression" dxfId="526" priority="28">
      <formula>AND(J$5&gt;$D25,J$5&lt;=$E25)</formula>
    </cfRule>
    <cfRule type="expression" dxfId="525" priority="29">
      <formula>AND($J$5&gt;=$D$25,$J$5&lt;=$E$25)</formula>
    </cfRule>
  </conditionalFormatting>
  <conditionalFormatting sqref="I28:Z28">
    <cfRule type="expression" dxfId="524" priority="27">
      <formula>AND(J$5&gt;=$D28,J$5&lt;=$E28)</formula>
    </cfRule>
  </conditionalFormatting>
  <conditionalFormatting sqref="J30:Z30">
    <cfRule type="expression" dxfId="523" priority="26">
      <formula>AND(J$5&gt;$D30,J$5&lt;=$E30)</formula>
    </cfRule>
  </conditionalFormatting>
  <conditionalFormatting sqref="J28:Z28">
    <cfRule type="expression" dxfId="522" priority="21">
      <formula>AND(K$5&gt;=$D25,K$5&lt;=$D25+($F25*$H25)-1)</formula>
    </cfRule>
  </conditionalFormatting>
  <conditionalFormatting sqref="J12:Z14">
    <cfRule type="expression" dxfId="521" priority="12">
      <formula>AND(J$5&gt;=$D12,J$5&lt;=$E12)</formula>
    </cfRule>
    <cfRule type="expression" dxfId="520" priority="13">
      <formula>AND(J$5&gt;=$D12,J$5&lt;=$E12)</formula>
    </cfRule>
    <cfRule type="expression" dxfId="519" priority="17">
      <formula>AND(K$5&gt;=$D12,K$5&lt;=$D12+($F12*$H12)-1)</formula>
    </cfRule>
    <cfRule type="expression" dxfId="518" priority="18">
      <formula>AND(J$5&gt;=$D12,J$5&lt;=$E12)</formula>
    </cfRule>
  </conditionalFormatting>
  <conditionalFormatting sqref="J8:Z10">
    <cfRule type="expression" dxfId="517" priority="14">
      <formula>AND(J$5&gt;=$D8,J$5&lt;=$E8)</formula>
    </cfRule>
    <cfRule type="expression" dxfId="516" priority="15">
      <formula>AND(K$5&gt;=$D8,K$5&lt;=$D8+($F8*$H8)-1)</formula>
    </cfRule>
    <cfRule type="expression" dxfId="515" priority="16">
      <formula>AND(J$5&gt;=$D8,J$5&lt;=$E8)</formula>
    </cfRule>
  </conditionalFormatting>
  <conditionalFormatting sqref="J8:Z10">
    <cfRule type="expression" dxfId="514" priority="11">
      <formula>AND(K$5&gt;=$D8,K$5&lt;=$D8+($F8*$H8)-1)</formula>
    </cfRule>
  </conditionalFormatting>
  <conditionalFormatting sqref="H29">
    <cfRule type="containsText" dxfId="3" priority="9" operator="containsText" text="Complete">
      <formula>NOT(ISERROR(SEARCH("Complete",H29)))</formula>
    </cfRule>
    <cfRule type="containsText" dxfId="2" priority="10" operator="containsText" text="Not Started">
      <formula>NOT(ISERROR(SEARCH("Not Started",H29)))</formula>
    </cfRule>
  </conditionalFormatting>
  <conditionalFormatting sqref="H8:H10">
    <cfRule type="dataBar" priority="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{62E6691D-A44E-4EA2-B88E-86B4A8D821EE}</x14:id>
        </ext>
      </extLst>
    </cfRule>
  </conditionalFormatting>
  <conditionalFormatting sqref="H12:H14">
    <cfRule type="dataBar" priority="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{B3CFD4CB-0BA1-4435-878A-B79EBF84141A}</x14:id>
        </ext>
      </extLst>
    </cfRule>
  </conditionalFormatting>
  <conditionalFormatting sqref="H16:H19">
    <cfRule type="dataBar" priority="6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{8DB1FAFE-9802-4E0B-8077-D488E69924AB}</x14:id>
        </ext>
      </extLst>
    </cfRule>
  </conditionalFormatting>
  <conditionalFormatting sqref="H21:H23">
    <cfRule type="dataBar" priority="4">
      <dataBar>
        <cfvo type="min"/>
        <cfvo type="max"/>
        <color theme="6" tint="0.39997558519241921"/>
      </dataBar>
      <extLst>
        <ext xmlns:x14="http://schemas.microsoft.com/office/spreadsheetml/2009/9/main" uri="{B025F937-C7B1-47D3-B67F-A62EFF666E3E}">
          <x14:id>{C76151F0-1E1A-4E48-B722-55536508223A}</x14:id>
        </ext>
      </extLst>
    </cfRule>
    <cfRule type="dataBar" priority="5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{D4CCE0EF-E879-4B9B-B7AA-29E28EC48C7B}</x14:id>
        </ext>
      </extLst>
    </cfRule>
  </conditionalFormatting>
  <conditionalFormatting sqref="H25:H26">
    <cfRule type="dataBar" priority="3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{BFD36438-EBAE-4D81-BAA7-C6A3BBA4ADCD}</x14:id>
        </ext>
      </extLst>
    </cfRule>
  </conditionalFormatting>
  <conditionalFormatting sqref="H28">
    <cfRule type="dataBar" priority="2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{E7942C03-6254-4F13-AE86-F59463151B6A}</x14:id>
        </ext>
      </extLst>
    </cfRule>
  </conditionalFormatting>
  <conditionalFormatting sqref="H30">
    <cfRule type="dataBar" priority="1">
      <dataBar>
        <cfvo type="min"/>
        <cfvo type="max"/>
        <color theme="2" tint="-0.499984740745262"/>
      </dataBar>
      <extLst>
        <ext xmlns:x14="http://schemas.microsoft.com/office/spreadsheetml/2009/9/main" uri="{B025F937-C7B1-47D3-B67F-A62EFF666E3E}">
          <x14:id>{F4BF9BDD-9BA6-4205-99C2-22BE821A5918}</x14:id>
        </ext>
      </extLst>
    </cfRule>
  </conditionalFormatting>
  <dataValidations count="1">
    <dataValidation type="list" allowBlank="1" showInputMessage="1" showErrorMessage="1" sqref="G8:G10 G25:G26 G28 G21:G23 G12:G14 G16:G19 G30" xr:uid="{1BBB58B0-B92D-470C-8B10-9F29E0E8D9A6}">
      <formula1>#REF!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E6691D-A44E-4EA2-B88E-86B4A8D821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H8:H10</xm:sqref>
        </x14:conditionalFormatting>
        <x14:conditionalFormatting xmlns:xm="http://schemas.microsoft.com/office/excel/2006/main">
          <x14:cfRule type="dataBar" id="{B3CFD4CB-0BA1-4435-878A-B79EBF841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H12:H14</xm:sqref>
        </x14:conditionalFormatting>
        <x14:conditionalFormatting xmlns:xm="http://schemas.microsoft.com/office/excel/2006/main">
          <x14:cfRule type="dataBar" id="{8DB1FAFE-9802-4E0B-8077-D488E69924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H16:H19</xm:sqref>
        </x14:conditionalFormatting>
        <x14:conditionalFormatting xmlns:xm="http://schemas.microsoft.com/office/excel/2006/main">
          <x14:cfRule type="dataBar" id="{C76151F0-1E1A-4E48-B722-5553650822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CCE0EF-E879-4B9B-B7AA-29E28EC48C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H21:H23</xm:sqref>
        </x14:conditionalFormatting>
        <x14:conditionalFormatting xmlns:xm="http://schemas.microsoft.com/office/excel/2006/main">
          <x14:cfRule type="dataBar" id="{BFD36438-EBAE-4D81-BAA7-C6A3BBA4AD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H25:H26</xm:sqref>
        </x14:conditionalFormatting>
        <x14:conditionalFormatting xmlns:xm="http://schemas.microsoft.com/office/excel/2006/main">
          <x14:cfRule type="dataBar" id="{E7942C03-6254-4F13-AE86-F59463151B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</xm:sqref>
        </x14:conditionalFormatting>
        <x14:conditionalFormatting xmlns:xm="http://schemas.microsoft.com/office/excel/2006/main">
          <x14:cfRule type="dataBar" id="{F4BF9BDD-9BA6-4205-99C2-22BE821A5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3604-6620-5248-AD2A-3A239DE8E828}">
  <dimension ref="A2:AK45"/>
  <sheetViews>
    <sheetView showGridLines="0" topLeftCell="C1" zoomScale="52" zoomScaleNormal="52" workbookViewId="0">
      <pane xSplit="6" ySplit="6" topLeftCell="J7" activePane="bottomRight" state="frozen"/>
      <selection activeCell="C1" sqref="C1"/>
      <selection pane="topRight" activeCell="I1" sqref="I1"/>
      <selection pane="bottomLeft" activeCell="C7" sqref="C7"/>
      <selection pane="bottomRight" activeCell="G30" sqref="G30"/>
    </sheetView>
  </sheetViews>
  <sheetFormatPr defaultColWidth="10.84375" defaultRowHeight="15.5"/>
  <cols>
    <col min="1" max="1" width="10" style="1" customWidth="1"/>
    <col min="2" max="2" width="42.765625" style="1" customWidth="1"/>
    <col min="3" max="3" width="21.3046875" style="1" customWidth="1"/>
    <col min="4" max="4" width="13.69140625" style="1" customWidth="1"/>
    <col min="5" max="5" width="11.23046875" style="1" customWidth="1"/>
    <col min="6" max="6" width="7.53515625" style="1" customWidth="1"/>
    <col min="7" max="7" width="14.3046875" style="1" customWidth="1"/>
    <col min="8" max="8" width="9.3828125" style="1" customWidth="1"/>
    <col min="9" max="9" width="2.3046875" style="1" customWidth="1"/>
    <col min="10" max="14" width="7.23046875" style="1" customWidth="1"/>
    <col min="15" max="17" width="10.84375" style="1"/>
    <col min="18" max="18" width="10.84375" style="1" customWidth="1"/>
    <col min="19" max="19" width="10.84375" style="1"/>
    <col min="20" max="20" width="10.84375" style="1" customWidth="1"/>
    <col min="21" max="24" width="10.84375" style="1"/>
    <col min="25" max="26" width="10.84375" style="1" customWidth="1"/>
    <col min="27" max="16384" width="10.84375" style="1"/>
  </cols>
  <sheetData>
    <row r="2" spans="1:37"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37">
      <c r="B3" s="2" t="s">
        <v>0</v>
      </c>
      <c r="C3" s="4">
        <v>45538</v>
      </c>
      <c r="D3" s="2"/>
      <c r="E3" s="2"/>
      <c r="F3" s="2"/>
      <c r="G3" s="2"/>
      <c r="J3" s="23">
        <f>K5</f>
        <v>45545</v>
      </c>
      <c r="K3" s="24"/>
      <c r="L3" s="24"/>
      <c r="M3" s="24"/>
      <c r="N3" s="25">
        <f>O5</f>
        <v>45573</v>
      </c>
      <c r="O3" s="25"/>
      <c r="P3" s="25"/>
      <c r="Q3" s="25"/>
      <c r="R3" s="25"/>
      <c r="S3" s="26">
        <f>T5</f>
        <v>45608</v>
      </c>
      <c r="T3" s="26"/>
      <c r="U3" s="26"/>
      <c r="V3" s="26"/>
      <c r="W3" s="20">
        <f>X5</f>
        <v>45636</v>
      </c>
      <c r="X3" s="20"/>
      <c r="Y3" s="20"/>
      <c r="Z3" s="21"/>
    </row>
    <row r="4" spans="1:37" ht="24" customHeight="1">
      <c r="B4" s="2" t="s">
        <v>1</v>
      </c>
      <c r="C4" s="27" t="s">
        <v>43</v>
      </c>
      <c r="D4" s="27"/>
      <c r="E4" s="27"/>
      <c r="F4" s="27"/>
      <c r="G4" s="27"/>
      <c r="H4" s="28" t="s">
        <v>2</v>
      </c>
      <c r="I4" s="28"/>
      <c r="J4" s="1" t="s">
        <v>44</v>
      </c>
      <c r="K4" s="1" t="s">
        <v>45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  <c r="Y4" s="1" t="s">
        <v>59</v>
      </c>
      <c r="Z4" s="1" t="s">
        <v>60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ht="16" customHeight="1" thickBot="1">
      <c r="B5" s="2"/>
      <c r="C5" s="18"/>
      <c r="D5" s="18"/>
      <c r="E5" s="18"/>
      <c r="F5" s="18"/>
      <c r="G5" s="18"/>
      <c r="H5" s="19"/>
      <c r="I5" s="19"/>
      <c r="J5" s="5">
        <f>C3</f>
        <v>45538</v>
      </c>
      <c r="K5" s="6">
        <f>J5+7</f>
        <v>45545</v>
      </c>
      <c r="L5" s="6">
        <f t="shared" ref="L5:Z5" si="0">K5+7</f>
        <v>45552</v>
      </c>
      <c r="M5" s="6">
        <f t="shared" si="0"/>
        <v>45559</v>
      </c>
      <c r="N5" s="6">
        <f t="shared" si="0"/>
        <v>45566</v>
      </c>
      <c r="O5" s="6">
        <f t="shared" si="0"/>
        <v>45573</v>
      </c>
      <c r="P5" s="6">
        <f t="shared" si="0"/>
        <v>45580</v>
      </c>
      <c r="Q5" s="6">
        <f t="shared" si="0"/>
        <v>45587</v>
      </c>
      <c r="R5" s="6">
        <f t="shared" si="0"/>
        <v>45594</v>
      </c>
      <c r="S5" s="6">
        <f t="shared" si="0"/>
        <v>45601</v>
      </c>
      <c r="T5" s="6">
        <f t="shared" si="0"/>
        <v>45608</v>
      </c>
      <c r="U5" s="6">
        <f t="shared" si="0"/>
        <v>45615</v>
      </c>
      <c r="V5" s="6">
        <f t="shared" si="0"/>
        <v>45622</v>
      </c>
      <c r="W5" s="6">
        <f t="shared" si="0"/>
        <v>45629</v>
      </c>
      <c r="X5" s="6">
        <f t="shared" si="0"/>
        <v>45636</v>
      </c>
      <c r="Y5" s="6">
        <f t="shared" si="0"/>
        <v>45643</v>
      </c>
      <c r="Z5" s="7">
        <f t="shared" si="0"/>
        <v>45650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6.5" thickTop="1" thickBot="1">
      <c r="A6" s="39" t="s">
        <v>3</v>
      </c>
      <c r="B6" s="40" t="s">
        <v>4</v>
      </c>
      <c r="C6" s="32" t="s">
        <v>32</v>
      </c>
      <c r="D6" s="32" t="s">
        <v>37</v>
      </c>
      <c r="E6" s="32" t="s">
        <v>38</v>
      </c>
      <c r="F6" s="32" t="s">
        <v>5</v>
      </c>
      <c r="G6" s="32" t="s">
        <v>6</v>
      </c>
      <c r="H6" s="33" t="s">
        <v>7</v>
      </c>
    </row>
    <row r="7" spans="1:37" ht="17" thickBot="1">
      <c r="A7" s="57">
        <v>1</v>
      </c>
      <c r="B7" s="58" t="s">
        <v>25</v>
      </c>
      <c r="C7" s="59"/>
      <c r="D7" s="60"/>
      <c r="E7" s="60"/>
      <c r="F7" s="61"/>
      <c r="G7" s="60"/>
      <c r="H7" s="106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2"/>
      <c r="AA7" s="30"/>
    </row>
    <row r="8" spans="1:37" ht="16.5">
      <c r="A8" s="48">
        <v>1.1000000000000001</v>
      </c>
      <c r="B8" s="49" t="s">
        <v>8</v>
      </c>
      <c r="C8" s="34" t="s">
        <v>33</v>
      </c>
      <c r="D8" s="35">
        <v>45538</v>
      </c>
      <c r="E8" s="35">
        <v>45657</v>
      </c>
      <c r="F8" s="36">
        <f>E8-D8</f>
        <v>119</v>
      </c>
      <c r="G8" s="37" t="s">
        <v>42</v>
      </c>
      <c r="H8" s="108">
        <v>0.5</v>
      </c>
      <c r="J8" s="109" t="b">
        <f>AND(K$5&gt;=$D8,K$5&lt;=$D8+($F8*$H8)-1)</f>
        <v>1</v>
      </c>
      <c r="K8" s="109" t="b">
        <f t="shared" ref="K8:Z10" si="1">AND(L$5&gt;=$D8,L$5&lt;=$D8+($F8*$H8)-1)</f>
        <v>1</v>
      </c>
      <c r="L8" s="109" t="b">
        <f t="shared" si="1"/>
        <v>1</v>
      </c>
      <c r="M8" s="109" t="b">
        <f t="shared" si="1"/>
        <v>1</v>
      </c>
      <c r="N8" s="109" t="b">
        <f t="shared" si="1"/>
        <v>1</v>
      </c>
      <c r="O8" s="109" t="b">
        <f t="shared" si="1"/>
        <v>1</v>
      </c>
      <c r="P8" s="109" t="b">
        <f t="shared" si="1"/>
        <v>1</v>
      </c>
      <c r="Q8" s="109" t="b">
        <f t="shared" si="1"/>
        <v>1</v>
      </c>
      <c r="R8" s="109" t="b">
        <f t="shared" si="1"/>
        <v>0</v>
      </c>
      <c r="S8" s="109" t="b">
        <f t="shared" si="1"/>
        <v>0</v>
      </c>
      <c r="T8" s="109" t="b">
        <f t="shared" si="1"/>
        <v>0</v>
      </c>
      <c r="U8" s="109" t="b">
        <f t="shared" si="1"/>
        <v>0</v>
      </c>
      <c r="V8" s="109" t="b">
        <f t="shared" si="1"/>
        <v>0</v>
      </c>
      <c r="W8" s="109" t="b">
        <f t="shared" si="1"/>
        <v>0</v>
      </c>
      <c r="X8" s="109" t="b">
        <f t="shared" si="1"/>
        <v>0</v>
      </c>
      <c r="Y8" s="109" t="b">
        <f t="shared" si="1"/>
        <v>0</v>
      </c>
      <c r="Z8" s="109" t="b">
        <f t="shared" si="1"/>
        <v>0</v>
      </c>
      <c r="AA8" s="30"/>
    </row>
    <row r="9" spans="1:37" ht="16.5">
      <c r="A9" s="8">
        <v>1.2</v>
      </c>
      <c r="B9" s="10" t="s">
        <v>9</v>
      </c>
      <c r="C9" s="13" t="s">
        <v>33</v>
      </c>
      <c r="D9" s="14">
        <v>45546</v>
      </c>
      <c r="E9" s="14">
        <v>45583</v>
      </c>
      <c r="F9" s="17">
        <f t="shared" ref="F9:F30" si="2">E9-D9</f>
        <v>37</v>
      </c>
      <c r="G9" s="15" t="s">
        <v>42</v>
      </c>
      <c r="H9" s="108">
        <v>0.75</v>
      </c>
      <c r="J9" s="109" t="b">
        <f t="shared" ref="J9:Y10" si="3">AND(K$5&gt;=$D9,K$5&lt;=$D9+($F9*$H9)-1)</f>
        <v>0</v>
      </c>
      <c r="K9" s="109" t="b">
        <f t="shared" si="3"/>
        <v>1</v>
      </c>
      <c r="L9" s="109" t="b">
        <f t="shared" si="3"/>
        <v>1</v>
      </c>
      <c r="M9" s="109" t="b">
        <f t="shared" si="3"/>
        <v>1</v>
      </c>
      <c r="N9" s="109" t="b">
        <f t="shared" si="3"/>
        <v>0</v>
      </c>
      <c r="O9" s="109" t="b">
        <f t="shared" si="3"/>
        <v>0</v>
      </c>
      <c r="P9" s="109" t="b">
        <f t="shared" si="3"/>
        <v>0</v>
      </c>
      <c r="Q9" s="109" t="b">
        <f t="shared" si="3"/>
        <v>0</v>
      </c>
      <c r="R9" s="109" t="b">
        <f t="shared" si="3"/>
        <v>0</v>
      </c>
      <c r="S9" s="109" t="b">
        <f t="shared" si="3"/>
        <v>0</v>
      </c>
      <c r="T9" s="109" t="b">
        <f t="shared" si="3"/>
        <v>0</v>
      </c>
      <c r="U9" s="109" t="b">
        <f t="shared" si="3"/>
        <v>0</v>
      </c>
      <c r="V9" s="109" t="b">
        <f t="shared" si="3"/>
        <v>0</v>
      </c>
      <c r="W9" s="109" t="b">
        <f t="shared" si="3"/>
        <v>0</v>
      </c>
      <c r="X9" s="109" t="b">
        <f t="shared" si="3"/>
        <v>0</v>
      </c>
      <c r="Y9" s="109" t="b">
        <f t="shared" si="3"/>
        <v>0</v>
      </c>
      <c r="Z9" s="109" t="b">
        <f t="shared" si="1"/>
        <v>0</v>
      </c>
      <c r="AA9" s="30"/>
    </row>
    <row r="10" spans="1:37" ht="17" thickBot="1">
      <c r="A10" s="9">
        <v>1.3</v>
      </c>
      <c r="B10" s="41" t="s">
        <v>10</v>
      </c>
      <c r="C10" s="42" t="s">
        <v>33</v>
      </c>
      <c r="D10" s="43">
        <v>45553</v>
      </c>
      <c r="E10" s="43">
        <v>45604</v>
      </c>
      <c r="F10" s="44">
        <f t="shared" si="2"/>
        <v>51</v>
      </c>
      <c r="G10" s="45" t="s">
        <v>42</v>
      </c>
      <c r="H10" s="108">
        <v>0.2</v>
      </c>
      <c r="J10" s="109" t="b">
        <f t="shared" si="3"/>
        <v>0</v>
      </c>
      <c r="K10" s="109" t="b">
        <f t="shared" si="1"/>
        <v>0</v>
      </c>
      <c r="L10" s="109" t="b">
        <f t="shared" si="1"/>
        <v>1</v>
      </c>
      <c r="M10" s="109" t="b">
        <f t="shared" si="1"/>
        <v>0</v>
      </c>
      <c r="N10" s="109" t="b">
        <f t="shared" si="1"/>
        <v>0</v>
      </c>
      <c r="O10" s="109" t="b">
        <f t="shared" si="1"/>
        <v>0</v>
      </c>
      <c r="P10" s="109" t="b">
        <f t="shared" si="1"/>
        <v>0</v>
      </c>
      <c r="Q10" s="109" t="b">
        <f t="shared" si="1"/>
        <v>0</v>
      </c>
      <c r="R10" s="109" t="b">
        <f t="shared" si="1"/>
        <v>0</v>
      </c>
      <c r="S10" s="109" t="b">
        <f t="shared" si="1"/>
        <v>0</v>
      </c>
      <c r="T10" s="109" t="b">
        <f t="shared" si="1"/>
        <v>0</v>
      </c>
      <c r="U10" s="109" t="b">
        <f t="shared" si="1"/>
        <v>0</v>
      </c>
      <c r="V10" s="109" t="b">
        <f t="shared" si="1"/>
        <v>0</v>
      </c>
      <c r="W10" s="109" t="b">
        <f t="shared" si="1"/>
        <v>0</v>
      </c>
      <c r="X10" s="109" t="b">
        <f t="shared" si="1"/>
        <v>0</v>
      </c>
      <c r="Y10" s="109" t="b">
        <f t="shared" si="1"/>
        <v>0</v>
      </c>
      <c r="Z10" s="109" t="b">
        <f t="shared" si="1"/>
        <v>0</v>
      </c>
      <c r="AA10" s="30"/>
    </row>
    <row r="11" spans="1:37" ht="17" thickBot="1">
      <c r="A11" s="63">
        <v>2</v>
      </c>
      <c r="B11" s="64" t="s">
        <v>26</v>
      </c>
      <c r="C11" s="65"/>
      <c r="D11" s="66"/>
      <c r="E11" s="66"/>
      <c r="F11" s="67"/>
      <c r="G11" s="68"/>
      <c r="H11" s="107"/>
      <c r="I11" s="68"/>
      <c r="J11" s="69"/>
      <c r="K11" s="69"/>
      <c r="L11" s="69"/>
      <c r="M11" s="69"/>
      <c r="N11" s="69"/>
      <c r="O11" s="69"/>
      <c r="P11" s="69"/>
      <c r="Q11" s="68"/>
      <c r="R11" s="68"/>
      <c r="S11" s="68"/>
      <c r="T11" s="68"/>
      <c r="U11" s="68"/>
      <c r="V11" s="68"/>
      <c r="W11" s="68"/>
      <c r="X11" s="68"/>
      <c r="Y11" s="68"/>
      <c r="Z11" s="70"/>
      <c r="AA11" s="30"/>
    </row>
    <row r="12" spans="1:37" ht="16.5">
      <c r="A12" s="48">
        <v>2.1</v>
      </c>
      <c r="B12" s="49" t="s">
        <v>11</v>
      </c>
      <c r="C12" s="34" t="s">
        <v>34</v>
      </c>
      <c r="D12" s="35">
        <v>45538</v>
      </c>
      <c r="E12" s="35">
        <v>45604</v>
      </c>
      <c r="F12" s="36">
        <f t="shared" si="2"/>
        <v>66</v>
      </c>
      <c r="G12" s="48" t="s">
        <v>40</v>
      </c>
      <c r="H12" s="38">
        <v>0.7</v>
      </c>
      <c r="J12" s="29" t="b">
        <f t="shared" ref="J12:Z12" si="4">AND(K$5&gt;=$D12,K$5&lt;=$D12+($F12*$H12)-1)</f>
        <v>1</v>
      </c>
      <c r="K12" s="29" t="b">
        <f t="shared" si="4"/>
        <v>1</v>
      </c>
      <c r="L12" s="29" t="b">
        <f t="shared" si="4"/>
        <v>1</v>
      </c>
      <c r="M12" s="29" t="b">
        <f t="shared" si="4"/>
        <v>1</v>
      </c>
      <c r="N12" s="29" t="b">
        <f t="shared" si="4"/>
        <v>1</v>
      </c>
      <c r="O12" s="29" t="b">
        <f t="shared" si="4"/>
        <v>1</v>
      </c>
      <c r="P12" s="29" t="b">
        <f t="shared" si="4"/>
        <v>0</v>
      </c>
      <c r="Q12" s="29" t="b">
        <f t="shared" si="4"/>
        <v>0</v>
      </c>
      <c r="R12" s="29" t="b">
        <f t="shared" si="4"/>
        <v>0</v>
      </c>
      <c r="S12" s="29" t="b">
        <f t="shared" si="4"/>
        <v>0</v>
      </c>
      <c r="T12" s="29" t="b">
        <f t="shared" si="4"/>
        <v>0</v>
      </c>
      <c r="U12" s="29" t="b">
        <f t="shared" si="4"/>
        <v>0</v>
      </c>
      <c r="V12" s="29" t="b">
        <f t="shared" si="4"/>
        <v>0</v>
      </c>
      <c r="W12" s="29" t="b">
        <f t="shared" si="4"/>
        <v>0</v>
      </c>
      <c r="X12" s="29" t="b">
        <f t="shared" si="4"/>
        <v>0</v>
      </c>
      <c r="Y12" s="29" t="b">
        <f t="shared" si="4"/>
        <v>0</v>
      </c>
      <c r="Z12" s="29" t="b">
        <f t="shared" si="4"/>
        <v>0</v>
      </c>
      <c r="AA12" s="30"/>
    </row>
    <row r="13" spans="1:37" ht="16.5">
      <c r="A13" s="8">
        <v>2.2000000000000002</v>
      </c>
      <c r="B13" s="10" t="s">
        <v>12</v>
      </c>
      <c r="C13" s="13" t="s">
        <v>34</v>
      </c>
      <c r="D13" s="14">
        <v>45538</v>
      </c>
      <c r="E13" s="14">
        <v>45604</v>
      </c>
      <c r="F13" s="17">
        <f t="shared" si="2"/>
        <v>66</v>
      </c>
      <c r="G13" s="8" t="s">
        <v>40</v>
      </c>
      <c r="H13" s="16">
        <v>0.85</v>
      </c>
      <c r="J13" s="29" t="b">
        <f t="shared" ref="J13" si="5">AND(K$5&gt;=$D13,K$5&lt;=$D13+($F13*$H13)-1)</f>
        <v>1</v>
      </c>
      <c r="K13" s="29" t="b">
        <f t="shared" ref="K13:Z13" si="6">AND(L$5&gt;=$D13,L$5&lt;=$D13+($F13*$H13)-1)</f>
        <v>1</v>
      </c>
      <c r="L13" s="29" t="b">
        <f t="shared" si="6"/>
        <v>1</v>
      </c>
      <c r="M13" s="29" t="b">
        <f t="shared" si="6"/>
        <v>1</v>
      </c>
      <c r="N13" s="29" t="b">
        <f t="shared" si="6"/>
        <v>1</v>
      </c>
      <c r="O13" s="29" t="b">
        <f t="shared" si="6"/>
        <v>1</v>
      </c>
      <c r="P13" s="29" t="b">
        <f t="shared" si="6"/>
        <v>1</v>
      </c>
      <c r="Q13" s="29" t="b">
        <f t="shared" si="6"/>
        <v>0</v>
      </c>
      <c r="R13" s="29" t="b">
        <f t="shared" si="6"/>
        <v>0</v>
      </c>
      <c r="S13" s="29" t="b">
        <f t="shared" si="6"/>
        <v>0</v>
      </c>
      <c r="T13" s="29" t="b">
        <f t="shared" si="6"/>
        <v>0</v>
      </c>
      <c r="U13" s="29" t="b">
        <f t="shared" si="6"/>
        <v>0</v>
      </c>
      <c r="V13" s="29" t="b">
        <f t="shared" si="6"/>
        <v>0</v>
      </c>
      <c r="W13" s="29" t="b">
        <f t="shared" si="6"/>
        <v>0</v>
      </c>
      <c r="X13" s="29" t="b">
        <f t="shared" si="6"/>
        <v>0</v>
      </c>
      <c r="Y13" s="29" t="b">
        <f t="shared" si="6"/>
        <v>0</v>
      </c>
      <c r="Z13" s="29" t="b">
        <f t="shared" si="6"/>
        <v>0</v>
      </c>
      <c r="AA13" s="30"/>
    </row>
    <row r="14" spans="1:37" ht="17" thickBot="1">
      <c r="A14" s="9">
        <v>2.2999999999999998</v>
      </c>
      <c r="B14" s="47" t="s">
        <v>13</v>
      </c>
      <c r="C14" s="42" t="s">
        <v>33</v>
      </c>
      <c r="D14" s="43">
        <v>45552</v>
      </c>
      <c r="E14" s="43">
        <v>45585</v>
      </c>
      <c r="F14" s="44">
        <f t="shared" si="2"/>
        <v>33</v>
      </c>
      <c r="G14" s="9" t="s">
        <v>42</v>
      </c>
      <c r="H14" s="46">
        <v>1</v>
      </c>
      <c r="J14" s="29" t="b">
        <f t="shared" ref="J14:Z14" si="7">AND(K$5&gt;=$D14,K$5&lt;=$D14+($F14*$H14)-1)</f>
        <v>0</v>
      </c>
      <c r="K14" s="29" t="b">
        <f t="shared" si="7"/>
        <v>1</v>
      </c>
      <c r="L14" s="29" t="b">
        <f t="shared" si="7"/>
        <v>1</v>
      </c>
      <c r="M14" s="29" t="b">
        <f t="shared" si="7"/>
        <v>1</v>
      </c>
      <c r="N14" s="29" t="b">
        <f t="shared" si="7"/>
        <v>1</v>
      </c>
      <c r="O14" s="29" t="b">
        <f t="shared" si="7"/>
        <v>1</v>
      </c>
      <c r="P14" s="29" t="b">
        <f t="shared" si="7"/>
        <v>0</v>
      </c>
      <c r="Q14" s="29" t="b">
        <f t="shared" si="7"/>
        <v>0</v>
      </c>
      <c r="R14" s="29" t="b">
        <f t="shared" si="7"/>
        <v>0</v>
      </c>
      <c r="S14" s="29" t="b">
        <f t="shared" si="7"/>
        <v>0</v>
      </c>
      <c r="T14" s="29" t="b">
        <f t="shared" si="7"/>
        <v>0</v>
      </c>
      <c r="U14" s="29" t="b">
        <f t="shared" si="7"/>
        <v>0</v>
      </c>
      <c r="V14" s="29" t="b">
        <f t="shared" si="7"/>
        <v>0</v>
      </c>
      <c r="W14" s="29" t="b">
        <f t="shared" si="7"/>
        <v>0</v>
      </c>
      <c r="X14" s="29" t="b">
        <f t="shared" si="7"/>
        <v>0</v>
      </c>
      <c r="Y14" s="29" t="b">
        <f t="shared" si="7"/>
        <v>0</v>
      </c>
      <c r="Z14" s="29" t="b">
        <f t="shared" si="7"/>
        <v>0</v>
      </c>
      <c r="AA14" s="30"/>
    </row>
    <row r="15" spans="1:37" ht="17" thickBot="1">
      <c r="A15" s="71">
        <v>3</v>
      </c>
      <c r="B15" s="72" t="s">
        <v>27</v>
      </c>
      <c r="C15" s="73"/>
      <c r="D15" s="74"/>
      <c r="E15" s="74"/>
      <c r="F15" s="75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7"/>
      <c r="AA15" s="30"/>
    </row>
    <row r="16" spans="1:37" ht="16.5">
      <c r="A16" s="48">
        <v>3.1</v>
      </c>
      <c r="B16" s="49" t="s">
        <v>14</v>
      </c>
      <c r="C16" s="34" t="s">
        <v>34</v>
      </c>
      <c r="D16" s="35">
        <v>45574</v>
      </c>
      <c r="E16" s="35">
        <v>45595</v>
      </c>
      <c r="F16" s="36">
        <f t="shared" si="2"/>
        <v>21</v>
      </c>
      <c r="G16" s="48" t="s">
        <v>42</v>
      </c>
      <c r="H16" s="38">
        <v>1</v>
      </c>
      <c r="J16" s="29" t="b">
        <f>AND(K$5&gt;=$D16,K$5&lt;=$D16+($F16*$H16)-1)</f>
        <v>0</v>
      </c>
      <c r="K16" s="29" t="b">
        <f>AND(L$5&gt;=$D16,L$5&lt;=$D16+($F16*$H16)-1)</f>
        <v>0</v>
      </c>
      <c r="L16" s="29" t="b">
        <f t="shared" ref="L16:Z16" si="8">AND(M$5&gt;=$D16,M$5&lt;=$D16+($F16*$H16)-1)</f>
        <v>0</v>
      </c>
      <c r="M16" s="29" t="b">
        <f t="shared" si="8"/>
        <v>0</v>
      </c>
      <c r="N16" s="29" t="b">
        <f t="shared" si="8"/>
        <v>0</v>
      </c>
      <c r="O16" s="29" t="b">
        <f t="shared" si="8"/>
        <v>1</v>
      </c>
      <c r="P16" s="29" t="b">
        <f t="shared" si="8"/>
        <v>1</v>
      </c>
      <c r="Q16" s="29" t="b">
        <f t="shared" si="8"/>
        <v>1</v>
      </c>
      <c r="R16" s="29" t="b">
        <f t="shared" si="8"/>
        <v>0</v>
      </c>
      <c r="S16" s="29" t="b">
        <f t="shared" si="8"/>
        <v>0</v>
      </c>
      <c r="T16" s="29" t="b">
        <f t="shared" si="8"/>
        <v>0</v>
      </c>
      <c r="U16" s="29" t="b">
        <f t="shared" si="8"/>
        <v>0</v>
      </c>
      <c r="V16" s="29" t="b">
        <f t="shared" si="8"/>
        <v>0</v>
      </c>
      <c r="W16" s="29" t="b">
        <f t="shared" si="8"/>
        <v>0</v>
      </c>
      <c r="X16" s="29" t="b">
        <f t="shared" si="8"/>
        <v>0</v>
      </c>
      <c r="Y16" s="29" t="b">
        <f t="shared" si="8"/>
        <v>0</v>
      </c>
      <c r="Z16" s="29" t="b">
        <f t="shared" si="8"/>
        <v>0</v>
      </c>
      <c r="AA16" s="30"/>
    </row>
    <row r="17" spans="1:27" ht="16.5">
      <c r="A17" s="8">
        <v>3.2</v>
      </c>
      <c r="B17" s="10" t="s">
        <v>15</v>
      </c>
      <c r="C17" s="13" t="s">
        <v>34</v>
      </c>
      <c r="D17" s="14">
        <v>45540</v>
      </c>
      <c r="E17" s="14">
        <v>45577</v>
      </c>
      <c r="F17" s="17">
        <f t="shared" si="2"/>
        <v>37</v>
      </c>
      <c r="G17" s="8" t="s">
        <v>42</v>
      </c>
      <c r="H17" s="16">
        <v>1</v>
      </c>
      <c r="J17" s="29" t="b">
        <f t="shared" ref="J17:Z17" si="9">AND(K$5&gt;=$D17,K$5&lt;=$D17+($F17*$H17)-1)</f>
        <v>1</v>
      </c>
      <c r="K17" s="29" t="b">
        <f>AND(L$5&gt;=$D17,L$5&lt;=$D17+($F17*$H17)-1)</f>
        <v>1</v>
      </c>
      <c r="L17" s="29" t="b">
        <f t="shared" si="9"/>
        <v>1</v>
      </c>
      <c r="M17" s="29" t="b">
        <f t="shared" si="9"/>
        <v>1</v>
      </c>
      <c r="N17" s="29" t="b">
        <f t="shared" si="9"/>
        <v>1</v>
      </c>
      <c r="O17" s="29" t="b">
        <f t="shared" si="9"/>
        <v>0</v>
      </c>
      <c r="P17" s="29" t="b">
        <f t="shared" si="9"/>
        <v>0</v>
      </c>
      <c r="Q17" s="29" t="b">
        <f t="shared" si="9"/>
        <v>0</v>
      </c>
      <c r="R17" s="29" t="b">
        <f t="shared" si="9"/>
        <v>0</v>
      </c>
      <c r="S17" s="29" t="b">
        <f t="shared" si="9"/>
        <v>0</v>
      </c>
      <c r="T17" s="29" t="b">
        <f t="shared" si="9"/>
        <v>0</v>
      </c>
      <c r="U17" s="29" t="b">
        <f t="shared" si="9"/>
        <v>0</v>
      </c>
      <c r="V17" s="29" t="b">
        <f t="shared" si="9"/>
        <v>0</v>
      </c>
      <c r="W17" s="29" t="b">
        <f t="shared" si="9"/>
        <v>0</v>
      </c>
      <c r="X17" s="29" t="b">
        <f t="shared" si="9"/>
        <v>0</v>
      </c>
      <c r="Y17" s="29" t="b">
        <f t="shared" si="9"/>
        <v>0</v>
      </c>
      <c r="Z17" s="29" t="b">
        <f t="shared" si="9"/>
        <v>0</v>
      </c>
      <c r="AA17" s="30"/>
    </row>
    <row r="18" spans="1:27" ht="16.5">
      <c r="A18" s="8">
        <v>3.3</v>
      </c>
      <c r="B18" s="10" t="s">
        <v>16</v>
      </c>
      <c r="C18" s="13" t="s">
        <v>34</v>
      </c>
      <c r="D18" s="14">
        <v>45541</v>
      </c>
      <c r="E18" s="14">
        <v>45544</v>
      </c>
      <c r="F18" s="17">
        <f t="shared" si="2"/>
        <v>3</v>
      </c>
      <c r="G18" s="8" t="s">
        <v>42</v>
      </c>
      <c r="H18" s="16">
        <v>1</v>
      </c>
      <c r="J18" s="29" t="b">
        <f t="shared" ref="J18:Z18" si="10">AND(K$5&gt;=$D18,K$5&lt;=$D18+($F18*$H18)-1)</f>
        <v>0</v>
      </c>
      <c r="K18" s="29" t="b">
        <f>AND(L$5&gt;=$D18,L$5&lt;=$D18+($F18*$H18)-1)</f>
        <v>0</v>
      </c>
      <c r="L18" s="29" t="b">
        <f t="shared" si="10"/>
        <v>0</v>
      </c>
      <c r="M18" s="29" t="b">
        <f t="shared" si="10"/>
        <v>0</v>
      </c>
      <c r="N18" s="29" t="b">
        <f t="shared" si="10"/>
        <v>0</v>
      </c>
      <c r="O18" s="29" t="b">
        <f t="shared" si="10"/>
        <v>0</v>
      </c>
      <c r="P18" s="29" t="b">
        <f t="shared" si="10"/>
        <v>0</v>
      </c>
      <c r="Q18" s="29" t="b">
        <f t="shared" si="10"/>
        <v>0</v>
      </c>
      <c r="R18" s="29" t="b">
        <f t="shared" si="10"/>
        <v>0</v>
      </c>
      <c r="S18" s="29" t="b">
        <f t="shared" si="10"/>
        <v>0</v>
      </c>
      <c r="T18" s="29" t="b">
        <f t="shared" si="10"/>
        <v>0</v>
      </c>
      <c r="U18" s="29" t="b">
        <f t="shared" si="10"/>
        <v>0</v>
      </c>
      <c r="V18" s="29" t="b">
        <f t="shared" si="10"/>
        <v>0</v>
      </c>
      <c r="W18" s="29" t="b">
        <f t="shared" si="10"/>
        <v>0</v>
      </c>
      <c r="X18" s="29" t="b">
        <f t="shared" si="10"/>
        <v>0</v>
      </c>
      <c r="Y18" s="29" t="b">
        <f t="shared" si="10"/>
        <v>0</v>
      </c>
      <c r="Z18" s="29" t="b">
        <f t="shared" si="10"/>
        <v>0</v>
      </c>
      <c r="AA18" s="30"/>
    </row>
    <row r="19" spans="1:27" ht="17" thickBot="1">
      <c r="A19" s="9">
        <v>3.4</v>
      </c>
      <c r="B19" s="41" t="s">
        <v>17</v>
      </c>
      <c r="C19" s="42" t="s">
        <v>34</v>
      </c>
      <c r="D19" s="43">
        <v>45540</v>
      </c>
      <c r="E19" s="43">
        <v>45575</v>
      </c>
      <c r="F19" s="44">
        <f t="shared" si="2"/>
        <v>35</v>
      </c>
      <c r="G19" s="9" t="s">
        <v>42</v>
      </c>
      <c r="H19" s="46">
        <v>1</v>
      </c>
      <c r="J19" s="29" t="b">
        <f t="shared" ref="J19:Z19" si="11">AND(K$5&gt;=$D19,K$5&lt;=$D19+($F19*$H19)-1)</f>
        <v>1</v>
      </c>
      <c r="K19" s="29" t="b">
        <f>AND(L$5&gt;=$D19,L$5&lt;=$D19+($F19*$H19)-1)</f>
        <v>1</v>
      </c>
      <c r="L19" s="29" t="b">
        <f t="shared" si="11"/>
        <v>1</v>
      </c>
      <c r="M19" s="29" t="b">
        <f t="shared" si="11"/>
        <v>1</v>
      </c>
      <c r="N19" s="29" t="b">
        <f t="shared" si="11"/>
        <v>1</v>
      </c>
      <c r="O19" s="29" t="b">
        <f t="shared" si="11"/>
        <v>0</v>
      </c>
      <c r="P19" s="29" t="b">
        <f t="shared" si="11"/>
        <v>0</v>
      </c>
      <c r="Q19" s="29" t="b">
        <f t="shared" si="11"/>
        <v>0</v>
      </c>
      <c r="R19" s="29" t="b">
        <f t="shared" si="11"/>
        <v>0</v>
      </c>
      <c r="S19" s="29" t="b">
        <f t="shared" si="11"/>
        <v>0</v>
      </c>
      <c r="T19" s="29" t="b">
        <f t="shared" si="11"/>
        <v>0</v>
      </c>
      <c r="U19" s="29" t="b">
        <f t="shared" si="11"/>
        <v>0</v>
      </c>
      <c r="V19" s="29" t="b">
        <f t="shared" si="11"/>
        <v>0</v>
      </c>
      <c r="W19" s="29" t="b">
        <f t="shared" si="11"/>
        <v>0</v>
      </c>
      <c r="X19" s="29" t="b">
        <f t="shared" si="11"/>
        <v>0</v>
      </c>
      <c r="Y19" s="29" t="b">
        <f t="shared" si="11"/>
        <v>0</v>
      </c>
      <c r="Z19" s="29" t="b">
        <f t="shared" si="11"/>
        <v>0</v>
      </c>
      <c r="AA19" s="30"/>
    </row>
    <row r="20" spans="1:27" ht="17" thickBot="1">
      <c r="A20" s="78">
        <v>4</v>
      </c>
      <c r="B20" s="79" t="s">
        <v>28</v>
      </c>
      <c r="C20" s="80"/>
      <c r="D20" s="81"/>
      <c r="E20" s="81"/>
      <c r="F20" s="82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30"/>
    </row>
    <row r="21" spans="1:27" ht="16.5">
      <c r="A21" s="48">
        <v>4.0999999999999996</v>
      </c>
      <c r="B21" s="49" t="s">
        <v>18</v>
      </c>
      <c r="C21" s="34" t="s">
        <v>34</v>
      </c>
      <c r="D21" s="35">
        <v>45580</v>
      </c>
      <c r="E21" s="35">
        <v>45604</v>
      </c>
      <c r="F21" s="36">
        <f t="shared" si="2"/>
        <v>24</v>
      </c>
      <c r="G21" s="48" t="s">
        <v>40</v>
      </c>
      <c r="H21" s="38">
        <v>0.7</v>
      </c>
      <c r="J21" s="29" t="b">
        <f>AND(K$5&gt;=$D21,K$5&lt;=$D21+($F21*$H21)-1)</f>
        <v>0</v>
      </c>
      <c r="K21" s="29" t="b">
        <f>AND(L$5&gt;=$D21,L$5&lt;=$D21+($F21*$H21)-1)</f>
        <v>0</v>
      </c>
      <c r="L21" s="29" t="b">
        <f t="shared" ref="L21:Z21" si="12">AND(M$5&gt;=$D21,M$5&lt;=$D21+($F21*$H21)-1)</f>
        <v>0</v>
      </c>
      <c r="M21" s="29" t="b">
        <f t="shared" si="12"/>
        <v>0</v>
      </c>
      <c r="N21" s="29" t="b">
        <f t="shared" si="12"/>
        <v>0</v>
      </c>
      <c r="O21" s="29" t="b">
        <f t="shared" si="12"/>
        <v>1</v>
      </c>
      <c r="P21" s="29" t="b">
        <f t="shared" si="12"/>
        <v>1</v>
      </c>
      <c r="Q21" s="29" t="b">
        <f t="shared" si="12"/>
        <v>1</v>
      </c>
      <c r="R21" s="29" t="b">
        <f t="shared" si="12"/>
        <v>0</v>
      </c>
      <c r="S21" s="29" t="b">
        <f t="shared" si="12"/>
        <v>0</v>
      </c>
      <c r="T21" s="29" t="b">
        <f t="shared" si="12"/>
        <v>0</v>
      </c>
      <c r="U21" s="29" t="b">
        <f t="shared" si="12"/>
        <v>0</v>
      </c>
      <c r="V21" s="29" t="b">
        <f t="shared" si="12"/>
        <v>0</v>
      </c>
      <c r="W21" s="29" t="b">
        <f t="shared" si="12"/>
        <v>0</v>
      </c>
      <c r="X21" s="29" t="b">
        <f t="shared" si="12"/>
        <v>0</v>
      </c>
      <c r="Y21" s="29" t="b">
        <f t="shared" si="12"/>
        <v>0</v>
      </c>
      <c r="Z21" s="29" t="b">
        <f t="shared" si="12"/>
        <v>0</v>
      </c>
      <c r="AA21" s="30"/>
    </row>
    <row r="22" spans="1:27" ht="16.5">
      <c r="A22" s="8">
        <v>4.2</v>
      </c>
      <c r="B22" s="10" t="s">
        <v>19</v>
      </c>
      <c r="C22" s="13" t="s">
        <v>33</v>
      </c>
      <c r="D22" s="14">
        <v>45580</v>
      </c>
      <c r="E22" s="14">
        <v>45604</v>
      </c>
      <c r="F22" s="17">
        <f t="shared" si="2"/>
        <v>24</v>
      </c>
      <c r="G22" s="8" t="s">
        <v>40</v>
      </c>
      <c r="H22" s="16">
        <v>0.6</v>
      </c>
      <c r="J22" s="29" t="b">
        <f t="shared" ref="J22:Z22" si="13">AND(K$5&gt;=$D22,K$5&lt;=$D22+($F22*$H22)-1)</f>
        <v>0</v>
      </c>
      <c r="K22" s="29" t="b">
        <f>AND(L$5&gt;=$D22,L$5&lt;=$D22+($F22*$H22)-1)</f>
        <v>0</v>
      </c>
      <c r="L22" s="29" t="b">
        <f t="shared" si="13"/>
        <v>0</v>
      </c>
      <c r="M22" s="29" t="b">
        <f t="shared" si="13"/>
        <v>0</v>
      </c>
      <c r="N22" s="29" t="b">
        <f t="shared" si="13"/>
        <v>0</v>
      </c>
      <c r="O22" s="29" t="b">
        <f t="shared" si="13"/>
        <v>1</v>
      </c>
      <c r="P22" s="29" t="b">
        <f t="shared" si="13"/>
        <v>1</v>
      </c>
      <c r="Q22" s="29" t="b">
        <f t="shared" si="13"/>
        <v>0</v>
      </c>
      <c r="R22" s="29" t="b">
        <f t="shared" si="13"/>
        <v>0</v>
      </c>
      <c r="S22" s="29" t="b">
        <f t="shared" si="13"/>
        <v>0</v>
      </c>
      <c r="T22" s="29" t="b">
        <f t="shared" si="13"/>
        <v>0</v>
      </c>
      <c r="U22" s="29" t="b">
        <f t="shared" si="13"/>
        <v>0</v>
      </c>
      <c r="V22" s="29" t="b">
        <f t="shared" si="13"/>
        <v>0</v>
      </c>
      <c r="W22" s="29" t="b">
        <f t="shared" si="13"/>
        <v>0</v>
      </c>
      <c r="X22" s="29" t="b">
        <f t="shared" si="13"/>
        <v>0</v>
      </c>
      <c r="Y22" s="29" t="b">
        <f t="shared" si="13"/>
        <v>0</v>
      </c>
      <c r="Z22" s="29" t="b">
        <f t="shared" si="13"/>
        <v>0</v>
      </c>
      <c r="AA22" s="30"/>
    </row>
    <row r="23" spans="1:27" ht="17" thickBot="1">
      <c r="A23" s="9">
        <v>4.3</v>
      </c>
      <c r="B23" s="41" t="s">
        <v>20</v>
      </c>
      <c r="C23" s="42" t="s">
        <v>34</v>
      </c>
      <c r="D23" s="43">
        <v>45594</v>
      </c>
      <c r="E23" s="43">
        <v>45604</v>
      </c>
      <c r="F23" s="44">
        <f t="shared" si="2"/>
        <v>10</v>
      </c>
      <c r="G23" s="9" t="s">
        <v>40</v>
      </c>
      <c r="H23" s="46">
        <v>0.6</v>
      </c>
      <c r="J23" s="29" t="b">
        <f t="shared" ref="J23:Z23" si="14">AND(K$5&gt;=$D23,K$5&lt;=$D23+($F23*$H23)-1)</f>
        <v>0</v>
      </c>
      <c r="K23" s="29" t="b">
        <f>AND(L$5&gt;=$D23,L$5&lt;=$D23+($F23*$H23)-1)</f>
        <v>0</v>
      </c>
      <c r="L23" s="29" t="b">
        <f t="shared" si="14"/>
        <v>0</v>
      </c>
      <c r="M23" s="29" t="b">
        <f t="shared" si="14"/>
        <v>0</v>
      </c>
      <c r="N23" s="29" t="b">
        <f t="shared" si="14"/>
        <v>0</v>
      </c>
      <c r="O23" s="29" t="b">
        <f t="shared" si="14"/>
        <v>0</v>
      </c>
      <c r="P23" s="29" t="b">
        <f t="shared" si="14"/>
        <v>0</v>
      </c>
      <c r="Q23" s="29" t="b">
        <f t="shared" si="14"/>
        <v>1</v>
      </c>
      <c r="R23" s="29" t="b">
        <f t="shared" si="14"/>
        <v>0</v>
      </c>
      <c r="S23" s="29" t="b">
        <f t="shared" si="14"/>
        <v>0</v>
      </c>
      <c r="T23" s="29" t="b">
        <f t="shared" si="14"/>
        <v>0</v>
      </c>
      <c r="U23" s="29" t="b">
        <f t="shared" si="14"/>
        <v>0</v>
      </c>
      <c r="V23" s="29" t="b">
        <f t="shared" si="14"/>
        <v>0</v>
      </c>
      <c r="W23" s="29" t="b">
        <f t="shared" si="14"/>
        <v>0</v>
      </c>
      <c r="X23" s="29" t="b">
        <f t="shared" si="14"/>
        <v>0</v>
      </c>
      <c r="Y23" s="29" t="b">
        <f t="shared" si="14"/>
        <v>0</v>
      </c>
      <c r="Z23" s="29" t="b">
        <f t="shared" si="14"/>
        <v>0</v>
      </c>
      <c r="AA23" s="30"/>
    </row>
    <row r="24" spans="1:27" ht="17" thickBot="1">
      <c r="A24" s="85">
        <v>5</v>
      </c>
      <c r="B24" s="86" t="s">
        <v>29</v>
      </c>
      <c r="C24" s="87"/>
      <c r="D24" s="88"/>
      <c r="E24" s="88"/>
      <c r="F24" s="8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30"/>
    </row>
    <row r="25" spans="1:27" ht="16.5">
      <c r="A25" s="48">
        <v>5.0999999999999996</v>
      </c>
      <c r="B25" s="49" t="s">
        <v>21</v>
      </c>
      <c r="C25" s="50" t="s">
        <v>33</v>
      </c>
      <c r="D25" s="35">
        <v>45562</v>
      </c>
      <c r="E25" s="35">
        <v>45604</v>
      </c>
      <c r="F25" s="36">
        <f t="shared" si="2"/>
        <v>42</v>
      </c>
      <c r="G25" s="48" t="s">
        <v>40</v>
      </c>
      <c r="H25" s="38">
        <v>0.8</v>
      </c>
      <c r="J25" s="29" t="b">
        <f>AND(K$5&gt;=$D25,K$5&lt;=$D25+($F25*$H25)-1)</f>
        <v>0</v>
      </c>
      <c r="K25" s="29" t="b">
        <f>AND(L$5&gt;=$D25,L$5&lt;=$D25+($F25*$H25)-1)</f>
        <v>0</v>
      </c>
      <c r="L25" s="29" t="b">
        <f t="shared" ref="L25:Z26" si="15">AND(M$5&gt;=$D25,M$5&lt;=$D25+($F25*$H25)-1)</f>
        <v>0</v>
      </c>
      <c r="M25" s="29" t="b">
        <f t="shared" si="15"/>
        <v>1</v>
      </c>
      <c r="N25" s="29" t="b">
        <f t="shared" si="15"/>
        <v>1</v>
      </c>
      <c r="O25" s="29" t="b">
        <f t="shared" si="15"/>
        <v>1</v>
      </c>
      <c r="P25" s="29" t="b">
        <f t="shared" si="15"/>
        <v>1</v>
      </c>
      <c r="Q25" s="29" t="b">
        <f t="shared" si="15"/>
        <v>1</v>
      </c>
      <c r="R25" s="29" t="b">
        <f t="shared" si="15"/>
        <v>0</v>
      </c>
      <c r="S25" s="29" t="b">
        <f t="shared" si="15"/>
        <v>0</v>
      </c>
      <c r="T25" s="29" t="b">
        <f t="shared" si="15"/>
        <v>0</v>
      </c>
      <c r="U25" s="29" t="b">
        <f t="shared" si="15"/>
        <v>0</v>
      </c>
      <c r="V25" s="29" t="b">
        <f t="shared" si="15"/>
        <v>0</v>
      </c>
      <c r="W25" s="29" t="b">
        <f t="shared" si="15"/>
        <v>0</v>
      </c>
      <c r="X25" s="29" t="b">
        <f t="shared" si="15"/>
        <v>0</v>
      </c>
      <c r="Y25" s="29" t="b">
        <f t="shared" si="15"/>
        <v>0</v>
      </c>
      <c r="Z25" s="29" t="b">
        <f t="shared" si="15"/>
        <v>0</v>
      </c>
      <c r="AA25" s="30"/>
    </row>
    <row r="26" spans="1:27" ht="17" thickBot="1">
      <c r="A26" s="9">
        <v>5.2</v>
      </c>
      <c r="B26" s="41" t="s">
        <v>22</v>
      </c>
      <c r="C26" s="42" t="s">
        <v>36</v>
      </c>
      <c r="D26" s="43">
        <v>45592</v>
      </c>
      <c r="E26" s="43">
        <v>45604</v>
      </c>
      <c r="F26" s="44">
        <f t="shared" si="2"/>
        <v>12</v>
      </c>
      <c r="G26" s="9" t="s">
        <v>40</v>
      </c>
      <c r="H26" s="46">
        <v>0.7</v>
      </c>
      <c r="J26" s="29" t="b">
        <f>AND(K$5&gt;=$D26,K$5&lt;=$D26+($F26*$H26)-1)</f>
        <v>0</v>
      </c>
      <c r="K26" s="29" t="b">
        <f>AND(L$5&gt;=$D26,L$5&lt;=$D26+($F26*$H26)-1)</f>
        <v>0</v>
      </c>
      <c r="L26" s="29" t="b">
        <f t="shared" si="15"/>
        <v>0</v>
      </c>
      <c r="M26" s="29" t="b">
        <f t="shared" si="15"/>
        <v>0</v>
      </c>
      <c r="N26" s="29" t="b">
        <f t="shared" si="15"/>
        <v>0</v>
      </c>
      <c r="O26" s="29" t="b">
        <f t="shared" si="15"/>
        <v>0</v>
      </c>
      <c r="P26" s="29" t="b">
        <f t="shared" si="15"/>
        <v>0</v>
      </c>
      <c r="Q26" s="29" t="b">
        <f t="shared" si="15"/>
        <v>1</v>
      </c>
      <c r="R26" s="29" t="b">
        <f t="shared" si="15"/>
        <v>0</v>
      </c>
      <c r="S26" s="29" t="b">
        <f t="shared" si="15"/>
        <v>0</v>
      </c>
      <c r="T26" s="29" t="b">
        <f t="shared" si="15"/>
        <v>0</v>
      </c>
      <c r="U26" s="29" t="b">
        <f t="shared" si="15"/>
        <v>0</v>
      </c>
      <c r="V26" s="29" t="b">
        <f t="shared" si="15"/>
        <v>0</v>
      </c>
      <c r="W26" s="29" t="b">
        <f t="shared" si="15"/>
        <v>0</v>
      </c>
      <c r="X26" s="29" t="b">
        <f t="shared" si="15"/>
        <v>0</v>
      </c>
      <c r="Y26" s="29" t="b">
        <f t="shared" si="15"/>
        <v>0</v>
      </c>
      <c r="Z26" s="29" t="b">
        <f t="shared" si="15"/>
        <v>0</v>
      </c>
      <c r="AA26" s="30"/>
    </row>
    <row r="27" spans="1:27" ht="17" thickBot="1">
      <c r="A27" s="92">
        <v>6</v>
      </c>
      <c r="B27" s="93" t="s">
        <v>30</v>
      </c>
      <c r="C27" s="94"/>
      <c r="D27" s="95"/>
      <c r="E27" s="95"/>
      <c r="F27" s="96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30"/>
    </row>
    <row r="28" spans="1:27" ht="17" thickBot="1">
      <c r="A28" s="30">
        <v>6.1</v>
      </c>
      <c r="B28" s="51" t="s">
        <v>23</v>
      </c>
      <c r="C28" s="52" t="s">
        <v>35</v>
      </c>
      <c r="D28" s="53">
        <v>45580</v>
      </c>
      <c r="E28" s="53">
        <v>45657</v>
      </c>
      <c r="F28" s="54">
        <f t="shared" si="2"/>
        <v>77</v>
      </c>
      <c r="G28" s="30" t="s">
        <v>41</v>
      </c>
      <c r="H28" s="55">
        <v>0.1</v>
      </c>
      <c r="J28" s="31" t="b">
        <f>AND(K$5&gt;=$D28,K$5&lt;=$D28+($F28*$H28)-1)</f>
        <v>0</v>
      </c>
      <c r="K28" s="31" t="b">
        <f>AND(L$5&gt;=$D28,L$5&lt;=$D28+($F28*$H28)-1)</f>
        <v>0</v>
      </c>
      <c r="L28" s="31" t="b">
        <f t="shared" ref="L28:Z28" si="16">AND(M$5&gt;=$D28,M$5&lt;=$D28+($F28*$H28)-1)</f>
        <v>0</v>
      </c>
      <c r="M28" s="31" t="b">
        <f t="shared" si="16"/>
        <v>0</v>
      </c>
      <c r="N28" s="31" t="b">
        <f t="shared" si="16"/>
        <v>0</v>
      </c>
      <c r="O28" s="31" t="b">
        <f t="shared" si="16"/>
        <v>1</v>
      </c>
      <c r="P28" s="31" t="b">
        <f t="shared" si="16"/>
        <v>0</v>
      </c>
      <c r="Q28" s="31" t="b">
        <f t="shared" si="16"/>
        <v>0</v>
      </c>
      <c r="R28" s="31" t="b">
        <f t="shared" si="16"/>
        <v>0</v>
      </c>
      <c r="S28" s="31" t="b">
        <f t="shared" si="16"/>
        <v>0</v>
      </c>
      <c r="T28" s="31" t="b">
        <f t="shared" si="16"/>
        <v>0</v>
      </c>
      <c r="U28" s="31" t="b">
        <f t="shared" si="16"/>
        <v>0</v>
      </c>
      <c r="V28" s="31" t="b">
        <f t="shared" si="16"/>
        <v>0</v>
      </c>
      <c r="W28" s="31" t="b">
        <f t="shared" si="16"/>
        <v>0</v>
      </c>
      <c r="X28" s="31" t="b">
        <f t="shared" si="16"/>
        <v>0</v>
      </c>
      <c r="Y28" s="31" t="b">
        <f t="shared" si="16"/>
        <v>0</v>
      </c>
      <c r="Z28" s="31" t="b">
        <f t="shared" si="16"/>
        <v>0</v>
      </c>
      <c r="AA28" s="30"/>
    </row>
    <row r="29" spans="1:27" ht="17" thickBot="1">
      <c r="A29" s="99">
        <v>7</v>
      </c>
      <c r="B29" s="100" t="s">
        <v>31</v>
      </c>
      <c r="C29" s="101"/>
      <c r="D29" s="102"/>
      <c r="E29" s="102"/>
      <c r="F29" s="103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30"/>
    </row>
    <row r="30" spans="1:27" ht="16.5">
      <c r="A30" s="48">
        <v>7.1</v>
      </c>
      <c r="B30" s="56" t="s">
        <v>24</v>
      </c>
      <c r="C30" s="34" t="s">
        <v>34</v>
      </c>
      <c r="D30" s="35">
        <v>45574</v>
      </c>
      <c r="E30" s="35">
        <v>45634</v>
      </c>
      <c r="F30" s="36">
        <f t="shared" si="2"/>
        <v>60</v>
      </c>
      <c r="G30" s="9" t="s">
        <v>42</v>
      </c>
      <c r="H30" s="38">
        <v>0.5</v>
      </c>
      <c r="J30" s="29" t="b">
        <f>AND(K$5&gt;=$D30,K$5&lt;=$D30+($F30*$H30))</f>
        <v>0</v>
      </c>
      <c r="K30" s="29" t="b">
        <f>AND(L$5&gt;=$D30,L$5&lt;=$D30+($F30*$H30))</f>
        <v>0</v>
      </c>
      <c r="L30" s="29" t="b">
        <f t="shared" ref="L30:Z30" si="17">AND(M$5&gt;=$D30,M$5&lt;=$D30+($F30*$H30))</f>
        <v>0</v>
      </c>
      <c r="M30" s="29" t="b">
        <f t="shared" si="17"/>
        <v>0</v>
      </c>
      <c r="N30" s="29" t="b">
        <f t="shared" si="17"/>
        <v>0</v>
      </c>
      <c r="O30" s="29" t="b">
        <f t="shared" si="17"/>
        <v>1</v>
      </c>
      <c r="P30" s="29" t="b">
        <f t="shared" si="17"/>
        <v>1</v>
      </c>
      <c r="Q30" s="29" t="b">
        <f t="shared" si="17"/>
        <v>1</v>
      </c>
      <c r="R30" s="29" t="b">
        <f t="shared" si="17"/>
        <v>1</v>
      </c>
      <c r="S30" s="29" t="b">
        <f t="shared" si="17"/>
        <v>0</v>
      </c>
      <c r="T30" s="29" t="b">
        <f t="shared" si="17"/>
        <v>0</v>
      </c>
      <c r="U30" s="29" t="b">
        <f t="shared" si="17"/>
        <v>0</v>
      </c>
      <c r="V30" s="29" t="b">
        <f t="shared" si="17"/>
        <v>0</v>
      </c>
      <c r="W30" s="29" t="b">
        <f t="shared" si="17"/>
        <v>0</v>
      </c>
      <c r="X30" s="29" t="b">
        <f t="shared" si="17"/>
        <v>0</v>
      </c>
      <c r="Y30" s="29" t="b">
        <f t="shared" si="17"/>
        <v>0</v>
      </c>
      <c r="Z30" s="29" t="b">
        <f t="shared" si="17"/>
        <v>0</v>
      </c>
      <c r="AA30" s="30"/>
    </row>
    <row r="31" spans="1:27" ht="16.5">
      <c r="A31" s="8"/>
      <c r="B31" s="12"/>
      <c r="C31" s="13"/>
      <c r="D31" s="8"/>
      <c r="E31" s="8"/>
      <c r="F31" s="17"/>
      <c r="G31" s="8"/>
      <c r="H31" s="8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7" ht="16.5">
      <c r="A32" s="8"/>
      <c r="B32" s="11"/>
      <c r="C32" s="8"/>
      <c r="D32" s="8"/>
      <c r="E32" s="8"/>
      <c r="F32" s="17"/>
      <c r="G32" s="8"/>
      <c r="H32" s="8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>
      <c r="A33" s="9"/>
      <c r="B33" s="9"/>
      <c r="C33" s="9"/>
      <c r="D33" s="9"/>
      <c r="E33" s="9"/>
      <c r="F33" s="9"/>
      <c r="G33" s="9"/>
      <c r="H33" s="9"/>
      <c r="J33" s="30"/>
      <c r="K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>
      <c r="J34" s="30"/>
      <c r="K34" s="30"/>
    </row>
    <row r="35" spans="1:26">
      <c r="J35" s="30"/>
    </row>
    <row r="37" spans="1:26">
      <c r="J37" s="30"/>
    </row>
    <row r="39" spans="1:26">
      <c r="J39" s="30"/>
    </row>
    <row r="41" spans="1:26">
      <c r="J41" s="30"/>
    </row>
    <row r="43" spans="1:26">
      <c r="J43" s="30"/>
    </row>
    <row r="45" spans="1:26">
      <c r="J45" s="30"/>
    </row>
  </sheetData>
  <mergeCells count="7">
    <mergeCell ref="C4:G4"/>
    <mergeCell ref="H4:I4"/>
    <mergeCell ref="W3:Z3"/>
    <mergeCell ref="J2:Z2"/>
    <mergeCell ref="J3:M3"/>
    <mergeCell ref="N3:R3"/>
    <mergeCell ref="S3:V3"/>
  </mergeCells>
  <phoneticPr fontId="8" type="noConversion"/>
  <conditionalFormatting sqref="G8:G29 I20 K20 M20 O20 Q20 S20 U20 W20 Y20 I24 K24 M24 O24 Q24 S24 U24 W24 Y24 I27 K27 M27 O27 Q27 S27 U27 W27 Y27 H29:Z29">
    <cfRule type="containsText" dxfId="84" priority="59" operator="containsText" text="Complete">
      <formula>NOT(ISERROR(SEARCH("Complete",G8)))</formula>
    </cfRule>
    <cfRule type="containsText" dxfId="83" priority="60" operator="containsText" text="Not Started">
      <formula>NOT(ISERROR(SEARCH("Not Started",G8)))</formula>
    </cfRule>
  </conditionalFormatting>
  <conditionalFormatting sqref="G9:G10">
    <cfRule type="containsText" dxfId="82" priority="50" operator="containsText" text="In Progress">
      <formula>NOT(ISERROR(SEARCH("In Progress",G9)))</formula>
    </cfRule>
  </conditionalFormatting>
  <conditionalFormatting sqref="G12:G13">
    <cfRule type="containsText" dxfId="81" priority="56" operator="containsText" text="In Progress">
      <formula>NOT(ISERROR(SEARCH("In Progress",G12)))</formula>
    </cfRule>
  </conditionalFormatting>
  <conditionalFormatting sqref="G21:G23">
    <cfRule type="containsText" dxfId="80" priority="53" operator="containsText" text="In Progress">
      <formula>NOT(ISERROR(SEARCH("In Progress",G21)))</formula>
    </cfRule>
  </conditionalFormatting>
  <conditionalFormatting sqref="G25:G26">
    <cfRule type="containsText" dxfId="79" priority="51" operator="containsText" text="In Progress">
      <formula>NOT(ISERROR(SEARCH("In Progress",G25)))</formula>
    </cfRule>
  </conditionalFormatting>
  <conditionalFormatting sqref="J30:Z30">
    <cfRule type="expression" dxfId="78" priority="32">
      <formula>AND(K$5&gt;=$D30,K$5&lt;=$D30+($F30*$H30))</formula>
    </cfRule>
    <cfRule type="expression" dxfId="77" priority="33">
      <formula>AND(K$5&gt;=$D25,K$5&lt;=$D25+($F25*$H25)-1)</formula>
    </cfRule>
    <cfRule type="containsText" dxfId="76" priority="57" operator="containsText" text="In Progress">
      <formula>NOT(ISERROR(SEARCH("In Progress",J30)))</formula>
    </cfRule>
    <cfRule type="cellIs" dxfId="75" priority="11" operator="equal">
      <formula>TRUE</formula>
    </cfRule>
  </conditionalFormatting>
  <conditionalFormatting sqref="J16:Z19">
    <cfRule type="expression" dxfId="74" priority="37">
      <formula>AND(K$5&gt;=$D16,K$5&lt;=$D16+($F16*$H16)-1)</formula>
    </cfRule>
    <cfRule type="expression" dxfId="73" priority="47">
      <formula>AND(J$5&gt;=$D16,J$5&lt;=$E16)</formula>
    </cfRule>
    <cfRule type="cellIs" dxfId="72" priority="16" operator="equal">
      <formula>TRUE</formula>
    </cfRule>
  </conditionalFormatting>
  <conditionalFormatting sqref="J21:Z23">
    <cfRule type="expression" dxfId="71" priority="36">
      <formula>AND(K$5&gt;=$D21,K$5&lt;=$D21+($F21*$H21)-1)</formula>
    </cfRule>
    <cfRule type="expression" dxfId="70" priority="46">
      <formula>AND(J$5&gt;=$D21,J$5&lt;=$E21)</formula>
    </cfRule>
    <cfRule type="cellIs" dxfId="69" priority="15" operator="equal">
      <formula>TRUE</formula>
    </cfRule>
  </conditionalFormatting>
  <conditionalFormatting sqref="J25:Z26">
    <cfRule type="expression" dxfId="4" priority="35">
      <formula>AND(K$5&gt;=$D25,K$5&lt;=$D25+($F25*$H25)-1)</formula>
    </cfRule>
    <cfRule type="expression" dxfId="5" priority="44">
      <formula>AND(J$5&gt;$D25,J$5&lt;=$E25)</formula>
    </cfRule>
    <cfRule type="expression" dxfId="6" priority="45">
      <formula>AND($J$5&gt;=$D$25,$J$5&lt;=$E$25)</formula>
    </cfRule>
    <cfRule type="cellIs" dxfId="7" priority="14" operator="equal">
      <formula>TRUE</formula>
    </cfRule>
    <cfRule type="cellIs" dxfId="8" priority="13" operator="equal">
      <formula>TRUE</formula>
    </cfRule>
    <cfRule type="cellIs" dxfId="9" priority="10" operator="equal">
      <formula>TRUE</formula>
    </cfRule>
  </conditionalFormatting>
  <conditionalFormatting sqref="I28:Z28">
    <cfRule type="expression" dxfId="68" priority="43">
      <formula>AND(J$5&gt;=$D28,J$5&lt;=$E28)</formula>
    </cfRule>
  </conditionalFormatting>
  <conditionalFormatting sqref="J30:Z30">
    <cfRule type="expression" dxfId="67" priority="42">
      <formula>AND(J$5&gt;$D30,J$5&lt;=$E30)</formula>
    </cfRule>
  </conditionalFormatting>
  <conditionalFormatting sqref="H8:H10"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{B856F2A7-F47C-4832-8B1F-0EDD68B53AA5}</x14:id>
        </ext>
      </extLst>
    </cfRule>
  </conditionalFormatting>
  <conditionalFormatting sqref="J28:Z28">
    <cfRule type="expression" dxfId="66" priority="34">
      <formula>AND(K$5&gt;=$D25,K$5&lt;=$D25+($F25*$H25)-1)</formula>
    </cfRule>
    <cfRule type="cellIs" dxfId="65" priority="12" operator="equal">
      <formula>TRUE</formula>
    </cfRule>
  </conditionalFormatting>
  <conditionalFormatting sqref="J12:Z14">
    <cfRule type="expression" dxfId="64" priority="25">
      <formula>AND(J$5&gt;=$D12,J$5&lt;=$E12)</formula>
    </cfRule>
    <cfRule type="expression" dxfId="63" priority="26">
      <formula>AND(J$5&gt;=$D12,J$5&lt;=$E12)</formula>
    </cfRule>
    <cfRule type="expression" dxfId="62" priority="30">
      <formula>AND(K$5&gt;=$D12,K$5&lt;=$D12+($F12*$H12)-1)</formula>
    </cfRule>
    <cfRule type="expression" dxfId="61" priority="31">
      <formula>AND(J$5&gt;=$D12,J$5&lt;=$E12)</formula>
    </cfRule>
    <cfRule type="cellIs" dxfId="60" priority="19" operator="equal">
      <formula>FALSE</formula>
    </cfRule>
    <cfRule type="cellIs" dxfId="59" priority="18" operator="equal">
      <formula>TRUE</formula>
    </cfRule>
  </conditionalFormatting>
  <conditionalFormatting sqref="J8:Z10">
    <cfRule type="expression" dxfId="58" priority="27">
      <formula>AND(J$5&gt;=$D8,J$5&lt;=$E8)</formula>
    </cfRule>
    <cfRule type="expression" dxfId="57" priority="28">
      <formula>AND(K$5&gt;=$D8,K$5&lt;=$D8+($F8*$H8)-1)</formula>
    </cfRule>
    <cfRule type="expression" dxfId="56" priority="29">
      <formula>AND(J$5&gt;=$D8,J$5&lt;=$E8)</formula>
    </cfRule>
    <cfRule type="cellIs" dxfId="55" priority="23" operator="equal">
      <formula>FALSE</formula>
    </cfRule>
    <cfRule type="cellIs" dxfId="54" priority="22" operator="equal">
      <formula>FALSE</formula>
    </cfRule>
    <cfRule type="cellIs" dxfId="53" priority="21" operator="equal">
      <formula>TRUE</formula>
    </cfRule>
    <cfRule type="cellIs" dxfId="52" priority="20" operator="equal">
      <formula>TRUE</formula>
    </cfRule>
  </conditionalFormatting>
  <conditionalFormatting sqref="J8:Z10">
    <cfRule type="expression" dxfId="51" priority="24">
      <formula>AND(K$5&gt;=$D8,K$5&lt;=$D8+($F8*$H8)-1)</formula>
    </cfRule>
  </conditionalFormatting>
  <conditionalFormatting sqref="J16:Z19 J21:Z23 J25:Z26 J28:Z28 J30:Z30">
    <cfRule type="cellIs" dxfId="50" priority="17" operator="equal">
      <formula>FALSE</formula>
    </cfRule>
  </conditionalFormatting>
  <conditionalFormatting sqref="H12:H14">
    <cfRule type="dataBar" priority="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{658A8608-38DC-44E9-99D2-706A04688DB2}</x14:id>
        </ext>
      </extLst>
    </cfRule>
  </conditionalFormatting>
  <conditionalFormatting sqref="H16:H19">
    <cfRule type="dataBar" priority="8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{061C3094-5F44-49ED-BD84-C19CDDED8BE0}</x14:id>
        </ext>
      </extLst>
    </cfRule>
  </conditionalFormatting>
  <conditionalFormatting sqref="H21:H23">
    <cfRule type="dataBar" priority="7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{CB1D6236-C460-40AA-97E2-9FB8D0B854D8}</x14:id>
        </ext>
      </extLst>
    </cfRule>
    <cfRule type="dataBar" priority="6">
      <dataBar>
        <cfvo type="min"/>
        <cfvo type="max"/>
        <color theme="6" tint="0.39997558519241921"/>
      </dataBar>
      <extLst>
        <ext xmlns:x14="http://schemas.microsoft.com/office/spreadsheetml/2009/9/main" uri="{B025F937-C7B1-47D3-B67F-A62EFF666E3E}">
          <x14:id>{34F00C88-ADBB-4F16-8478-664DC05AA977}</x14:id>
        </ext>
      </extLst>
    </cfRule>
  </conditionalFormatting>
  <conditionalFormatting sqref="H25:H26">
    <cfRule type="dataBar" priority="5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{308E70D0-CD37-4364-A89C-2BAF38FB92E7}</x14:id>
        </ext>
      </extLst>
    </cfRule>
  </conditionalFormatting>
  <conditionalFormatting sqref="H28">
    <cfRule type="dataBar" priority="4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{515F38FF-5162-4D67-AB2F-FB52BDDB9A0E}</x14:id>
        </ext>
      </extLst>
    </cfRule>
  </conditionalFormatting>
  <conditionalFormatting sqref="H30">
    <cfRule type="dataBar" priority="3">
      <dataBar>
        <cfvo type="min"/>
        <cfvo type="max"/>
        <color theme="2" tint="-0.499984740745262"/>
      </dataBar>
      <extLst>
        <ext xmlns:x14="http://schemas.microsoft.com/office/spreadsheetml/2009/9/main" uri="{B025F937-C7B1-47D3-B67F-A62EFF666E3E}">
          <x14:id>{C6E1E2B6-37F5-4EB1-94BC-1A201486CE20}</x14:id>
        </ext>
      </extLst>
    </cfRule>
  </conditionalFormatting>
  <conditionalFormatting sqref="G30">
    <cfRule type="containsText" dxfId="1" priority="1" operator="containsText" text="Complete">
      <formula>NOT(ISERROR(SEARCH("Complete",G30)))</formula>
    </cfRule>
    <cfRule type="containsText" dxfId="0" priority="2" operator="containsText" text="Not Started">
      <formula>NOT(ISERROR(SEARCH("Not Started",G30)))</formula>
    </cfRule>
  </conditionalFormatting>
  <dataValidations count="1">
    <dataValidation type="list" allowBlank="1" showInputMessage="1" showErrorMessage="1" sqref="G8:G10 G25:G26 G28 G21:G23 G12:G14 G16:G19 G30" xr:uid="{670DE6E6-B3C0-B848-90B4-811443B958F9}">
      <formula1>#REF!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56F2A7-F47C-4832-8B1F-0EDD68B53A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H8:H10</xm:sqref>
        </x14:conditionalFormatting>
        <x14:conditionalFormatting xmlns:xm="http://schemas.microsoft.com/office/excel/2006/main">
          <x14:cfRule type="dataBar" id="{658A8608-38DC-44E9-99D2-706A04688D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H12:H14</xm:sqref>
        </x14:conditionalFormatting>
        <x14:conditionalFormatting xmlns:xm="http://schemas.microsoft.com/office/excel/2006/main">
          <x14:cfRule type="dataBar" id="{061C3094-5F44-49ED-BD84-C19CDDED8B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H16:H19</xm:sqref>
        </x14:conditionalFormatting>
        <x14:conditionalFormatting xmlns:xm="http://schemas.microsoft.com/office/excel/2006/main">
          <x14:cfRule type="dataBar" id="{CB1D6236-C460-40AA-97E2-9FB8D0B854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F00C88-ADBB-4F16-8478-664DC05AA9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H21:H23</xm:sqref>
        </x14:conditionalFormatting>
        <x14:conditionalFormatting xmlns:xm="http://schemas.microsoft.com/office/excel/2006/main">
          <x14:cfRule type="dataBar" id="{308E70D0-CD37-4364-A89C-2BAF38FB92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H25:H26</xm:sqref>
        </x14:conditionalFormatting>
        <x14:conditionalFormatting xmlns:xm="http://schemas.microsoft.com/office/excel/2006/main">
          <x14:cfRule type="dataBar" id="{515F38FF-5162-4D67-AB2F-FB52BDDB9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</xm:sqref>
        </x14:conditionalFormatting>
        <x14:conditionalFormatting xmlns:xm="http://schemas.microsoft.com/office/excel/2006/main">
          <x14:cfRule type="dataBar" id="{C6E1E2B6-37F5-4EB1-94BC-1A201486CE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Tonye Sekibo</dc:creator>
  <cp:lastModifiedBy>USER</cp:lastModifiedBy>
  <dcterms:created xsi:type="dcterms:W3CDTF">2024-11-11T13:43:42Z</dcterms:created>
  <dcterms:modified xsi:type="dcterms:W3CDTF">2024-11-12T00:55:35Z</dcterms:modified>
</cp:coreProperties>
</file>