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9200" windowHeight="7310"/>
  </bookViews>
  <sheets>
    <sheet name="YearToDate" sheetId="4" r:id="rId1"/>
    <sheet name="Jan" sheetId="9" r:id="rId2"/>
    <sheet name="Feb" sheetId="10" r:id="rId3"/>
    <sheet name="Mar" sheetId="11" r:id="rId4"/>
    <sheet name="Apr" sheetId="12" r:id="rId5"/>
    <sheet name="May" sheetId="13" r:id="rId6"/>
    <sheet name="Jun" sheetId="14" r:id="rId7"/>
    <sheet name="Jul" sheetId="15" r:id="rId8"/>
    <sheet name="Aug" sheetId="1" r:id="rId9"/>
    <sheet name="Sep" sheetId="5" r:id="rId10"/>
    <sheet name="Oct" sheetId="6" r:id="rId11"/>
    <sheet name="Nov" sheetId="7" r:id="rId12"/>
    <sheet name="Dec" sheetId="8" r:id="rId13"/>
    <sheet name="©" sheetId="16" r:id="rId14"/>
  </sheets>
  <definedNames>
    <definedName name="_xlnm._FilterDatabase" localSheetId="0" hidden="1">YearToDate!$A$9:$Q$34</definedName>
    <definedName name="list_totals">YearToDate!$A$9:$Q$34</definedName>
    <definedName name="monthNames">{"January";"February";"March";"April";"May";"June";"July";"August";"September";"October";"November";"December"}</definedName>
    <definedName name="_xlnm.Print_Area" localSheetId="4">Apr!$A$1:$AO$32</definedName>
    <definedName name="_xlnm.Print_Area" localSheetId="8">Aug!$A$1:$AO$32</definedName>
    <definedName name="_xlnm.Print_Area" localSheetId="12">Dec!$A$1:$AO$32</definedName>
    <definedName name="_xlnm.Print_Area" localSheetId="2">Feb!$A$1:$AO$29</definedName>
    <definedName name="_xlnm.Print_Area" localSheetId="1">Jan!$A$1:$AO$33</definedName>
    <definedName name="_xlnm.Print_Area" localSheetId="7">Jul!$A$1:$AO$32</definedName>
    <definedName name="_xlnm.Print_Area" localSheetId="6">Jun!$A$1:$AO$32</definedName>
    <definedName name="_xlnm.Print_Area" localSheetId="3">Mar!$A$1:$AO$32</definedName>
    <definedName name="_xlnm.Print_Area" localSheetId="5">May!$A$1:$AO$32</definedName>
    <definedName name="_xlnm.Print_Area" localSheetId="11">Nov!$A$1:$AO$32</definedName>
    <definedName name="_xlnm.Print_Area" localSheetId="10">Oct!$A$1:$AO$32</definedName>
    <definedName name="_xlnm.Print_Area" localSheetId="9">Sep!$A$1:$AO$32</definedName>
    <definedName name="_xlnm.Print_Area" localSheetId="0">YearToDate!$A$1:$S$38</definedName>
    <definedName name="valuevx">42.314159</definedName>
    <definedName name="vertex42_copyright" hidden="1">"© 2020 by Vertex42.com"</definedName>
    <definedName name="vertex42_id" hidden="1">"employee-leave-tracker.xlsx"</definedName>
    <definedName name="vertex42_title" hidden="1">"Employee Leave Tracker"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4" l="1"/>
  <c r="C12" i="4"/>
  <c r="C13" i="4"/>
  <c r="C14" i="4"/>
  <c r="C16" i="4"/>
  <c r="C17" i="4"/>
  <c r="C18" i="4"/>
  <c r="C30" i="4"/>
  <c r="C31" i="4"/>
  <c r="C32" i="4"/>
  <c r="C28" i="4"/>
  <c r="C29" i="4"/>
  <c r="C23" i="4"/>
  <c r="C10" i="4" l="1"/>
  <c r="R9" i="4"/>
  <c r="P9" i="4"/>
  <c r="N9" i="4"/>
  <c r="L9" i="4"/>
  <c r="J9" i="4"/>
  <c r="H9" i="4"/>
  <c r="F9" i="4"/>
  <c r="A8" i="8" l="1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7" i="8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7" i="7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7" i="6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7" i="5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7" i="1"/>
  <c r="A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7" i="15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7" i="14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A22" i="13"/>
  <c r="A23" i="13"/>
  <c r="A24" i="13"/>
  <c r="A25" i="13"/>
  <c r="A26" i="13"/>
  <c r="A27" i="13"/>
  <c r="A28" i="13"/>
  <c r="A29" i="13"/>
  <c r="A7" i="13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7" i="12"/>
  <c r="A8" i="11"/>
  <c r="A9" i="11"/>
  <c r="A10" i="11"/>
  <c r="A11" i="11"/>
  <c r="A12" i="11"/>
  <c r="A13" i="11"/>
  <c r="A14" i="11"/>
  <c r="A15" i="11"/>
  <c r="A16" i="11"/>
  <c r="B16" i="11" s="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7" i="11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B22" i="10" s="1"/>
  <c r="A23" i="10"/>
  <c r="A24" i="10"/>
  <c r="A25" i="10"/>
  <c r="A26" i="10"/>
  <c r="A7" i="10"/>
  <c r="B15" i="11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8" i="9"/>
  <c r="A7" i="9"/>
  <c r="B15" i="10"/>
  <c r="B17" i="11"/>
  <c r="AM6" i="8" l="1"/>
  <c r="AM7" i="8" s="1"/>
  <c r="AN6" i="8"/>
  <c r="AN8" i="8" s="1"/>
  <c r="AM6" i="7"/>
  <c r="AN6" i="7"/>
  <c r="AN8" i="7" s="1"/>
  <c r="AM6" i="6"/>
  <c r="AM7" i="6" s="1"/>
  <c r="AN6" i="6"/>
  <c r="AN7" i="6" s="1"/>
  <c r="AM6" i="5"/>
  <c r="AM7" i="5" s="1"/>
  <c r="AN6" i="5"/>
  <c r="AN28" i="5" s="1"/>
  <c r="AM6" i="1"/>
  <c r="AM7" i="1" s="1"/>
  <c r="AN6" i="1"/>
  <c r="AN7" i="1" s="1"/>
  <c r="AM6" i="15"/>
  <c r="AM7" i="15" s="1"/>
  <c r="AN6" i="15"/>
  <c r="AN15" i="15" s="1"/>
  <c r="AM6" i="14"/>
  <c r="AM7" i="14" s="1"/>
  <c r="AN6" i="14"/>
  <c r="AM6" i="13"/>
  <c r="AM7" i="13" s="1"/>
  <c r="AN6" i="13"/>
  <c r="AN9" i="13" s="1"/>
  <c r="AM6" i="12"/>
  <c r="AM15" i="12" s="1"/>
  <c r="AN6" i="12"/>
  <c r="AM6" i="11"/>
  <c r="AN6" i="11"/>
  <c r="AM6" i="10"/>
  <c r="AM20" i="10" s="1"/>
  <c r="AN6" i="10"/>
  <c r="AN7" i="10" s="1"/>
  <c r="AM6" i="9"/>
  <c r="AM7" i="9" s="1"/>
  <c r="AN6" i="9"/>
  <c r="AN8" i="9" s="1"/>
  <c r="AM27" i="8" l="1"/>
  <c r="AN22" i="8"/>
  <c r="AM16" i="8"/>
  <c r="AN26" i="8"/>
  <c r="AN19" i="8"/>
  <c r="AN15" i="8"/>
  <c r="AN29" i="8"/>
  <c r="AN23" i="8"/>
  <c r="AM19" i="8"/>
  <c r="AN12" i="8"/>
  <c r="AM29" i="8"/>
  <c r="AM23" i="8"/>
  <c r="AN16" i="8"/>
  <c r="AM12" i="8"/>
  <c r="AM10" i="8"/>
  <c r="AN10" i="8"/>
  <c r="AN27" i="7"/>
  <c r="AN23" i="7"/>
  <c r="AN17" i="7"/>
  <c r="AN12" i="7"/>
  <c r="AM17" i="11"/>
  <c r="AM16" i="11"/>
  <c r="AM15" i="11"/>
  <c r="AN7" i="11"/>
  <c r="AN16" i="11"/>
  <c r="AN17" i="11"/>
  <c r="AN15" i="11"/>
  <c r="AM8" i="8"/>
  <c r="AN20" i="1"/>
  <c r="AM15" i="14"/>
  <c r="AM20" i="14"/>
  <c r="AM27" i="11"/>
  <c r="AN29" i="11"/>
  <c r="AN19" i="13"/>
  <c r="AN24" i="7"/>
  <c r="AN16" i="7"/>
  <c r="AN10" i="7"/>
  <c r="AM12" i="10"/>
  <c r="AN24" i="13"/>
  <c r="AN13" i="13"/>
  <c r="AN19" i="7"/>
  <c r="AN13" i="7"/>
  <c r="AN18" i="10"/>
  <c r="AN29" i="13"/>
  <c r="AN18" i="13"/>
  <c r="AN11" i="13"/>
  <c r="AN26" i="14"/>
  <c r="AM27" i="1"/>
  <c r="AN28" i="7"/>
  <c r="AN20" i="7"/>
  <c r="AN11" i="7"/>
  <c r="AM25" i="8"/>
  <c r="AM21" i="8"/>
  <c r="AN17" i="8"/>
  <c r="AM14" i="8"/>
  <c r="AN7" i="8"/>
  <c r="AN25" i="10"/>
  <c r="AN25" i="13"/>
  <c r="AN15" i="13"/>
  <c r="AN10" i="13"/>
  <c r="AM24" i="15"/>
  <c r="AM23" i="1"/>
  <c r="AN21" i="10"/>
  <c r="AN10" i="10"/>
  <c r="AM26" i="11"/>
  <c r="AM19" i="12"/>
  <c r="AN28" i="13"/>
  <c r="AN22" i="13"/>
  <c r="AN12" i="13"/>
  <c r="AN8" i="13"/>
  <c r="AN19" i="1"/>
  <c r="AN12" i="1"/>
  <c r="AN26" i="7"/>
  <c r="AN22" i="7"/>
  <c r="AN18" i="7"/>
  <c r="AN15" i="7"/>
  <c r="AN9" i="7"/>
  <c r="AM21" i="11"/>
  <c r="AM13" i="11"/>
  <c r="AN26" i="13"/>
  <c r="AN21" i="13"/>
  <c r="AN16" i="13"/>
  <c r="AN7" i="13"/>
  <c r="AM26" i="14"/>
  <c r="AM15" i="15"/>
  <c r="AN26" i="1"/>
  <c r="AN16" i="1"/>
  <c r="AN29" i="7"/>
  <c r="AN25" i="7"/>
  <c r="AN21" i="7"/>
  <c r="AN14" i="7"/>
  <c r="AN7" i="7"/>
  <c r="AM18" i="11"/>
  <c r="AM16" i="13"/>
  <c r="AN11" i="1"/>
  <c r="AN24" i="10"/>
  <c r="AN20" i="10"/>
  <c r="AN17" i="10"/>
  <c r="AN14" i="10"/>
  <c r="AN9" i="10"/>
  <c r="AN21" i="11"/>
  <c r="AN9" i="11"/>
  <c r="AM23" i="13"/>
  <c r="AN23" i="1"/>
  <c r="AM14" i="1"/>
  <c r="AM8" i="1"/>
  <c r="AM21" i="6"/>
  <c r="AN23" i="10"/>
  <c r="AM12" i="5"/>
  <c r="AM16" i="6"/>
  <c r="AM23" i="5"/>
  <c r="AN16" i="10"/>
  <c r="AN13" i="10"/>
  <c r="AN8" i="10"/>
  <c r="AN26" i="10"/>
  <c r="AN22" i="10"/>
  <c r="AN19" i="10"/>
  <c r="AN15" i="10"/>
  <c r="AN12" i="10"/>
  <c r="AN11" i="10"/>
  <c r="AN18" i="11"/>
  <c r="AM12" i="13"/>
  <c r="AN29" i="14"/>
  <c r="AN18" i="14"/>
  <c r="AN9" i="14"/>
  <c r="AM9" i="10"/>
  <c r="AM15" i="10"/>
  <c r="AM19" i="10"/>
  <c r="AM23" i="10"/>
  <c r="AM7" i="10"/>
  <c r="AM11" i="10"/>
  <c r="AM13" i="10"/>
  <c r="AM17" i="10"/>
  <c r="AM21" i="10"/>
  <c r="AM25" i="10"/>
  <c r="AM7" i="7"/>
  <c r="AM12" i="7"/>
  <c r="AM16" i="7"/>
  <c r="AM23" i="7"/>
  <c r="AM22" i="10"/>
  <c r="AM14" i="10"/>
  <c r="AM8" i="10"/>
  <c r="AM7" i="12"/>
  <c r="AM16" i="12"/>
  <c r="AM21" i="12"/>
  <c r="AM26" i="12"/>
  <c r="AM8" i="12"/>
  <c r="AM27" i="12"/>
  <c r="AM9" i="12"/>
  <c r="AM23" i="12"/>
  <c r="AM22" i="12"/>
  <c r="AM12" i="12"/>
  <c r="AM18" i="12"/>
  <c r="AM29" i="12"/>
  <c r="AM24" i="10"/>
  <c r="AM16" i="10"/>
  <c r="AM10" i="10"/>
  <c r="AM7" i="11"/>
  <c r="AM11" i="11"/>
  <c r="AM14" i="11"/>
  <c r="AM23" i="11"/>
  <c r="AM28" i="11"/>
  <c r="AM20" i="11"/>
  <c r="AM29" i="11"/>
  <c r="AM9" i="11"/>
  <c r="AM8" i="11"/>
  <c r="AM24" i="11"/>
  <c r="AM14" i="12"/>
  <c r="AM26" i="10"/>
  <c r="AM18" i="10"/>
  <c r="AM25" i="12"/>
  <c r="AM10" i="12"/>
  <c r="AN25" i="15"/>
  <c r="AN14" i="15"/>
  <c r="AN22" i="15"/>
  <c r="AN7" i="5"/>
  <c r="AN8" i="5"/>
  <c r="AN12" i="5"/>
  <c r="AN19" i="5"/>
  <c r="AN23" i="5"/>
  <c r="AN13" i="5"/>
  <c r="AN24" i="5"/>
  <c r="AN10" i="5"/>
  <c r="AN16" i="5"/>
  <c r="AN21" i="5"/>
  <c r="AN27" i="5"/>
  <c r="AM21" i="5"/>
  <c r="AM18" i="15"/>
  <c r="AM29" i="1"/>
  <c r="AN25" i="1"/>
  <c r="AN22" i="1"/>
  <c r="AM19" i="1"/>
  <c r="AM16" i="1"/>
  <c r="AM12" i="1"/>
  <c r="AM10" i="1"/>
  <c r="AM16" i="5"/>
  <c r="AM29" i="6"/>
  <c r="AN27" i="13"/>
  <c r="AN23" i="13"/>
  <c r="AN20" i="13"/>
  <c r="AN17" i="13"/>
  <c r="AN14" i="13"/>
  <c r="AN21" i="14"/>
  <c r="AM11" i="14"/>
  <c r="AN28" i="1"/>
  <c r="AM25" i="1"/>
  <c r="AM21" i="1"/>
  <c r="AN15" i="1"/>
  <c r="AN14" i="1"/>
  <c r="AN8" i="1"/>
  <c r="AM29" i="5"/>
  <c r="AM23" i="6"/>
  <c r="AN27" i="8"/>
  <c r="AN24" i="8"/>
  <c r="AN21" i="8"/>
  <c r="AN18" i="8"/>
  <c r="AN13" i="8"/>
  <c r="AN9" i="8"/>
  <c r="AN23" i="11"/>
  <c r="AN13" i="11"/>
  <c r="AM25" i="13"/>
  <c r="AM14" i="13"/>
  <c r="AM8" i="13"/>
  <c r="AM24" i="14"/>
  <c r="AM13" i="14"/>
  <c r="AM28" i="15"/>
  <c r="AN10" i="1"/>
  <c r="AN28" i="6"/>
  <c r="AN24" i="6"/>
  <c r="AN21" i="6"/>
  <c r="AN18" i="6"/>
  <c r="AN13" i="6"/>
  <c r="AN9" i="6"/>
  <c r="AM25" i="7"/>
  <c r="AM14" i="7"/>
  <c r="AM8" i="7"/>
  <c r="AM27" i="13"/>
  <c r="AM19" i="13"/>
  <c r="AM10" i="13"/>
  <c r="AM28" i="14"/>
  <c r="AM22" i="14"/>
  <c r="AM18" i="14"/>
  <c r="AM9" i="14"/>
  <c r="AM26" i="15"/>
  <c r="AM22" i="15"/>
  <c r="AM17" i="15"/>
  <c r="AM10" i="15"/>
  <c r="AN27" i="6"/>
  <c r="AN23" i="6"/>
  <c r="AN15" i="6"/>
  <c r="AN12" i="6"/>
  <c r="AN8" i="6"/>
  <c r="AM27" i="7"/>
  <c r="AM19" i="7"/>
  <c r="AM10" i="7"/>
  <c r="AN25" i="6"/>
  <c r="AN22" i="6"/>
  <c r="AN19" i="6"/>
  <c r="AN16" i="6"/>
  <c r="AN14" i="6"/>
  <c r="AN10" i="6"/>
  <c r="AN25" i="11"/>
  <c r="AN27" i="11"/>
  <c r="AM25" i="11"/>
  <c r="AM22" i="11"/>
  <c r="AM19" i="11"/>
  <c r="AM12" i="11"/>
  <c r="AM10" i="11"/>
  <c r="AM28" i="12"/>
  <c r="AM24" i="12"/>
  <c r="AM20" i="12"/>
  <c r="AM17" i="12"/>
  <c r="AM13" i="12"/>
  <c r="AM11" i="12"/>
  <c r="AM29" i="13"/>
  <c r="AM21" i="13"/>
  <c r="AM17" i="14"/>
  <c r="AM20" i="15"/>
  <c r="AN27" i="1"/>
  <c r="AN18" i="1"/>
  <c r="AN9" i="1"/>
  <c r="AN25" i="5"/>
  <c r="AN22" i="5"/>
  <c r="AN18" i="5"/>
  <c r="AN15" i="5"/>
  <c r="AN14" i="5"/>
  <c r="AN9" i="5"/>
  <c r="AN29" i="6"/>
  <c r="AN26" i="6"/>
  <c r="AN20" i="6"/>
  <c r="AN17" i="6"/>
  <c r="AM12" i="6"/>
  <c r="AN11" i="6"/>
  <c r="AM29" i="7"/>
  <c r="AM21" i="7"/>
  <c r="AM26" i="9"/>
  <c r="AN21" i="9"/>
  <c r="AM13" i="9"/>
  <c r="AN17" i="9"/>
  <c r="AN14" i="9"/>
  <c r="AM18" i="9"/>
  <c r="AN11" i="9"/>
  <c r="AN7" i="12"/>
  <c r="AN9" i="12"/>
  <c r="AN11" i="12"/>
  <c r="AN13" i="12"/>
  <c r="AN15" i="12"/>
  <c r="AN17" i="12"/>
  <c r="AN18" i="12"/>
  <c r="AN20" i="12"/>
  <c r="AN22" i="12"/>
  <c r="AN24" i="12"/>
  <c r="AN26" i="12"/>
  <c r="AN28" i="12"/>
  <c r="AN28" i="9"/>
  <c r="AN24" i="9"/>
  <c r="AN18" i="9"/>
  <c r="AN16" i="9"/>
  <c r="AN9" i="9"/>
  <c r="AN12" i="9"/>
  <c r="AN19" i="9"/>
  <c r="AN23" i="9"/>
  <c r="AN26" i="9"/>
  <c r="AN30" i="9"/>
  <c r="AN23" i="12"/>
  <c r="AN16" i="12"/>
  <c r="AN12" i="12"/>
  <c r="AN29" i="9"/>
  <c r="AN25" i="9"/>
  <c r="AN20" i="9"/>
  <c r="AN13" i="9"/>
  <c r="AN10" i="9"/>
  <c r="AN8" i="11"/>
  <c r="AN10" i="11"/>
  <c r="AN12" i="11"/>
  <c r="AN14" i="11"/>
  <c r="AN19" i="11"/>
  <c r="AN25" i="12"/>
  <c r="AN14" i="12"/>
  <c r="AN8" i="12"/>
  <c r="AN28" i="11"/>
  <c r="AN26" i="11"/>
  <c r="AN24" i="11"/>
  <c r="AN22" i="11"/>
  <c r="AN20" i="11"/>
  <c r="AN11" i="11"/>
  <c r="AN27" i="12"/>
  <c r="AN19" i="12"/>
  <c r="AN10" i="12"/>
  <c r="AN27" i="9"/>
  <c r="AN22" i="9"/>
  <c r="AN15" i="9"/>
  <c r="AN7" i="9"/>
  <c r="AN29" i="12"/>
  <c r="AN21" i="12"/>
  <c r="AN7" i="14"/>
  <c r="AN10" i="14"/>
  <c r="AN13" i="14"/>
  <c r="AN17" i="14"/>
  <c r="AN19" i="14"/>
  <c r="AN24" i="14"/>
  <c r="AN27" i="14"/>
  <c r="AN8" i="14"/>
  <c r="AN14" i="14"/>
  <c r="AN15" i="14"/>
  <c r="AN22" i="14"/>
  <c r="AN25" i="14"/>
  <c r="AN11" i="14"/>
  <c r="AN12" i="14"/>
  <c r="AN16" i="14"/>
  <c r="AN20" i="14"/>
  <c r="AN23" i="14"/>
  <c r="AN28" i="14"/>
  <c r="AN7" i="15"/>
  <c r="AN10" i="15"/>
  <c r="AN16" i="15"/>
  <c r="AN20" i="15"/>
  <c r="AN23" i="15"/>
  <c r="AN28" i="15"/>
  <c r="AN8" i="15"/>
  <c r="AN11" i="15"/>
  <c r="AN12" i="15"/>
  <c r="AN18" i="15"/>
  <c r="AN21" i="15"/>
  <c r="AN26" i="15"/>
  <c r="AN29" i="15"/>
  <c r="AN9" i="15"/>
  <c r="AN13" i="15"/>
  <c r="AN17" i="15"/>
  <c r="AN19" i="15"/>
  <c r="AN24" i="15"/>
  <c r="AN27" i="15"/>
  <c r="AN29" i="1"/>
  <c r="AN24" i="1"/>
  <c r="AN21" i="1"/>
  <c r="AN17" i="1"/>
  <c r="AN13" i="1"/>
  <c r="AN29" i="5"/>
  <c r="AN26" i="5"/>
  <c r="AN20" i="5"/>
  <c r="AN17" i="5"/>
  <c r="AN11" i="5"/>
  <c r="AN28" i="8"/>
  <c r="AN25" i="8"/>
  <c r="AN20" i="8"/>
  <c r="AN14" i="8"/>
  <c r="AN11" i="8"/>
  <c r="AM25" i="5"/>
  <c r="AM14" i="5"/>
  <c r="AM8" i="5"/>
  <c r="AM25" i="6"/>
  <c r="AM14" i="6"/>
  <c r="AM8" i="6"/>
  <c r="AM28" i="7"/>
  <c r="AM26" i="7"/>
  <c r="AM24" i="7"/>
  <c r="AM22" i="7"/>
  <c r="AM20" i="7"/>
  <c r="AM18" i="7"/>
  <c r="AM17" i="7"/>
  <c r="AM15" i="7"/>
  <c r="AM13" i="7"/>
  <c r="AM11" i="7"/>
  <c r="AM9" i="7"/>
  <c r="AM28" i="9"/>
  <c r="AM20" i="9"/>
  <c r="AM8" i="9"/>
  <c r="AM30" i="9"/>
  <c r="AM22" i="9"/>
  <c r="AM16" i="9"/>
  <c r="AM10" i="9"/>
  <c r="AM28" i="13"/>
  <c r="AM26" i="13"/>
  <c r="AM24" i="13"/>
  <c r="AM22" i="13"/>
  <c r="AM20" i="13"/>
  <c r="AM18" i="13"/>
  <c r="AM17" i="13"/>
  <c r="AM15" i="13"/>
  <c r="AM13" i="13"/>
  <c r="AM11" i="13"/>
  <c r="AM9" i="13"/>
  <c r="AM29" i="14"/>
  <c r="AM27" i="14"/>
  <c r="AM25" i="14"/>
  <c r="AM23" i="14"/>
  <c r="AM21" i="14"/>
  <c r="AM19" i="14"/>
  <c r="AM16" i="14"/>
  <c r="AM14" i="14"/>
  <c r="AM12" i="14"/>
  <c r="AM10" i="14"/>
  <c r="AM8" i="14"/>
  <c r="AM12" i="15"/>
  <c r="AM24" i="9"/>
  <c r="AM29" i="15"/>
  <c r="AM27" i="15"/>
  <c r="AM25" i="15"/>
  <c r="AM23" i="15"/>
  <c r="AM21" i="15"/>
  <c r="AM19" i="15"/>
  <c r="AM16" i="15"/>
  <c r="AM14" i="15"/>
  <c r="AM8" i="15"/>
  <c r="AM28" i="1"/>
  <c r="AM26" i="1"/>
  <c r="AM24" i="1"/>
  <c r="AM22" i="1"/>
  <c r="AM20" i="1"/>
  <c r="AM18" i="1"/>
  <c r="AM17" i="1"/>
  <c r="AM15" i="1"/>
  <c r="AM13" i="1"/>
  <c r="AM11" i="1"/>
  <c r="AM9" i="1"/>
  <c r="AM27" i="5"/>
  <c r="AM19" i="5"/>
  <c r="AM10" i="5"/>
  <c r="AM27" i="6"/>
  <c r="AM19" i="6"/>
  <c r="AM10" i="6"/>
  <c r="AM28" i="8"/>
  <c r="AM26" i="8"/>
  <c r="AM24" i="8"/>
  <c r="AM22" i="8"/>
  <c r="AM20" i="8"/>
  <c r="AM18" i="8"/>
  <c r="AM17" i="8"/>
  <c r="AM15" i="8"/>
  <c r="AM13" i="8"/>
  <c r="AM11" i="8"/>
  <c r="AM9" i="8"/>
  <c r="AM28" i="6"/>
  <c r="AM26" i="6"/>
  <c r="AM24" i="6"/>
  <c r="AM22" i="6"/>
  <c r="AM20" i="6"/>
  <c r="AM18" i="6"/>
  <c r="AM17" i="6"/>
  <c r="AM15" i="6"/>
  <c r="AM13" i="6"/>
  <c r="AM11" i="6"/>
  <c r="AM9" i="6"/>
  <c r="AM28" i="5"/>
  <c r="AM26" i="5"/>
  <c r="AM24" i="5"/>
  <c r="AM22" i="5"/>
  <c r="AM20" i="5"/>
  <c r="AM18" i="5"/>
  <c r="AM17" i="5"/>
  <c r="AM15" i="5"/>
  <c r="AM13" i="5"/>
  <c r="AM11" i="5"/>
  <c r="AM9" i="5"/>
  <c r="AM13" i="15"/>
  <c r="AM11" i="15"/>
  <c r="AM9" i="15"/>
  <c r="AM29" i="9"/>
  <c r="AM27" i="9"/>
  <c r="AM25" i="9"/>
  <c r="AM23" i="9"/>
  <c r="AM21" i="9"/>
  <c r="AM19" i="9"/>
  <c r="AM17" i="9"/>
  <c r="AM15" i="9"/>
  <c r="AM14" i="9"/>
  <c r="AM12" i="9"/>
  <c r="AM11" i="9"/>
  <c r="AM9" i="9"/>
  <c r="C4" i="8"/>
  <c r="C4" i="7"/>
  <c r="C4" i="6"/>
  <c r="C4" i="5"/>
  <c r="C4" i="1"/>
  <c r="C4" i="15"/>
  <c r="C4" i="14"/>
  <c r="C4" i="13"/>
  <c r="C4" i="12"/>
  <c r="C4" i="11"/>
  <c r="C4" i="10"/>
  <c r="AO6" i="8"/>
  <c r="AO26" i="8" s="1"/>
  <c r="AL6" i="8"/>
  <c r="AL12" i="8" s="1"/>
  <c r="AK6" i="8"/>
  <c r="AK29" i="8" s="1"/>
  <c r="AJ6" i="8"/>
  <c r="AJ29" i="8" s="1"/>
  <c r="AI6" i="8"/>
  <c r="AI28" i="8" s="1"/>
  <c r="AH6" i="8"/>
  <c r="AH29" i="8" s="1"/>
  <c r="AO6" i="7"/>
  <c r="AO26" i="7" s="1"/>
  <c r="AL6" i="7"/>
  <c r="AL26" i="7" s="1"/>
  <c r="AK6" i="7"/>
  <c r="AK29" i="7" s="1"/>
  <c r="AJ6" i="7"/>
  <c r="AI6" i="7"/>
  <c r="AI28" i="7" s="1"/>
  <c r="AH6" i="7"/>
  <c r="AH11" i="7" s="1"/>
  <c r="AO6" i="6"/>
  <c r="AO26" i="6" s="1"/>
  <c r="AL6" i="6"/>
  <c r="AL26" i="6" s="1"/>
  <c r="AK6" i="6"/>
  <c r="AK29" i="6" s="1"/>
  <c r="AJ6" i="6"/>
  <c r="AJ27" i="6" s="1"/>
  <c r="AI6" i="6"/>
  <c r="AI28" i="6" s="1"/>
  <c r="AH6" i="6"/>
  <c r="AH28" i="6" s="1"/>
  <c r="AO6" i="5"/>
  <c r="AO26" i="5" s="1"/>
  <c r="AL6" i="5"/>
  <c r="AL26" i="5" s="1"/>
  <c r="AK6" i="5"/>
  <c r="AK29" i="5" s="1"/>
  <c r="AJ6" i="5"/>
  <c r="AJ19" i="5" s="1"/>
  <c r="AI6" i="5"/>
  <c r="AI28" i="5" s="1"/>
  <c r="AH6" i="5"/>
  <c r="AH26" i="5" s="1"/>
  <c r="AO6" i="1"/>
  <c r="AO26" i="1" s="1"/>
  <c r="AL6" i="1"/>
  <c r="AL26" i="1" s="1"/>
  <c r="AK6" i="1"/>
  <c r="AK29" i="1" s="1"/>
  <c r="AJ6" i="1"/>
  <c r="AJ29" i="1" s="1"/>
  <c r="AI6" i="1"/>
  <c r="AI28" i="1" s="1"/>
  <c r="AH6" i="1"/>
  <c r="AO6" i="15"/>
  <c r="AO26" i="15" s="1"/>
  <c r="AL6" i="15"/>
  <c r="AL26" i="15" s="1"/>
  <c r="AK6" i="15"/>
  <c r="AK29" i="15" s="1"/>
  <c r="AJ6" i="15"/>
  <c r="AJ29" i="15" s="1"/>
  <c r="AI6" i="15"/>
  <c r="AI28" i="15" s="1"/>
  <c r="AH6" i="15"/>
  <c r="AH28" i="15" s="1"/>
  <c r="AO6" i="14"/>
  <c r="AO26" i="14" s="1"/>
  <c r="AL6" i="14"/>
  <c r="AL26" i="14" s="1"/>
  <c r="AK6" i="14"/>
  <c r="AK29" i="14" s="1"/>
  <c r="AJ6" i="14"/>
  <c r="AJ21" i="14" s="1"/>
  <c r="AI6" i="14"/>
  <c r="AI28" i="14" s="1"/>
  <c r="AH6" i="14"/>
  <c r="AH20" i="14" s="1"/>
  <c r="AO6" i="13"/>
  <c r="AO26" i="13" s="1"/>
  <c r="AL6" i="13"/>
  <c r="AL26" i="13" s="1"/>
  <c r="AK6" i="13"/>
  <c r="AK29" i="13" s="1"/>
  <c r="AJ6" i="13"/>
  <c r="AJ27" i="13" s="1"/>
  <c r="AI6" i="13"/>
  <c r="AI28" i="13" s="1"/>
  <c r="AH6" i="13"/>
  <c r="AH28" i="13" s="1"/>
  <c r="AO6" i="12"/>
  <c r="AO26" i="12" s="1"/>
  <c r="AL6" i="12"/>
  <c r="AL26" i="12" s="1"/>
  <c r="AK6" i="12"/>
  <c r="AK29" i="12" s="1"/>
  <c r="AJ6" i="12"/>
  <c r="AJ29" i="12" s="1"/>
  <c r="AI6" i="12"/>
  <c r="AI28" i="12" s="1"/>
  <c r="AH6" i="12"/>
  <c r="AH23" i="12" s="1"/>
  <c r="AO6" i="11"/>
  <c r="AL6" i="11"/>
  <c r="AK6" i="11"/>
  <c r="AJ6" i="11"/>
  <c r="AI6" i="11"/>
  <c r="AH6" i="11"/>
  <c r="AO6" i="10"/>
  <c r="AO23" i="10" s="1"/>
  <c r="AL6" i="10"/>
  <c r="AL23" i="10" s="1"/>
  <c r="AK6" i="10"/>
  <c r="AK26" i="10" s="1"/>
  <c r="AJ6" i="10"/>
  <c r="AJ26" i="10" s="1"/>
  <c r="AI6" i="10"/>
  <c r="AI25" i="10" s="1"/>
  <c r="AH6" i="10"/>
  <c r="AH10" i="10" s="1"/>
  <c r="O16" i="4" l="1"/>
  <c r="O32" i="4"/>
  <c r="O12" i="4"/>
  <c r="P12" i="4" s="1"/>
  <c r="O17" i="4"/>
  <c r="M33" i="4"/>
  <c r="M32" i="4"/>
  <c r="M16" i="4"/>
  <c r="O31" i="4"/>
  <c r="O23" i="4"/>
  <c r="M18" i="4"/>
  <c r="M25" i="4"/>
  <c r="N25" i="4" s="1"/>
  <c r="O20" i="4"/>
  <c r="O33" i="4"/>
  <c r="O21" i="4"/>
  <c r="O18" i="4"/>
  <c r="M22" i="4"/>
  <c r="N22" i="4" s="1"/>
  <c r="O26" i="4"/>
  <c r="P26" i="4" s="1"/>
  <c r="O15" i="4"/>
  <c r="M30" i="4"/>
  <c r="M31" i="4"/>
  <c r="M12" i="4"/>
  <c r="N12" i="4" s="1"/>
  <c r="M20" i="4"/>
  <c r="M27" i="4"/>
  <c r="N27" i="4" s="1"/>
  <c r="O24" i="4"/>
  <c r="P24" i="4" s="1"/>
  <c r="O30" i="4"/>
  <c r="O13" i="4"/>
  <c r="P13" i="4" s="1"/>
  <c r="M24" i="4"/>
  <c r="N24" i="4" s="1"/>
  <c r="M13" i="4"/>
  <c r="N13" i="4" s="1"/>
  <c r="O25" i="4"/>
  <c r="P25" i="4" s="1"/>
  <c r="O14" i="4"/>
  <c r="P14" i="4" s="1"/>
  <c r="O19" i="4"/>
  <c r="O22" i="4"/>
  <c r="P22" i="4" s="1"/>
  <c r="M23" i="4"/>
  <c r="N23" i="4" s="1"/>
  <c r="M19" i="4"/>
  <c r="M17" i="4"/>
  <c r="M14" i="4"/>
  <c r="N14" i="4" s="1"/>
  <c r="M21" i="4"/>
  <c r="M29" i="4"/>
  <c r="N29" i="4" s="1"/>
  <c r="O27" i="4"/>
  <c r="P27" i="4" s="1"/>
  <c r="O11" i="4"/>
  <c r="P11" i="4" s="1"/>
  <c r="M28" i="4"/>
  <c r="N28" i="4" s="1"/>
  <c r="M15" i="4"/>
  <c r="O28" i="4"/>
  <c r="P28" i="4" s="1"/>
  <c r="M11" i="4"/>
  <c r="N11" i="4" s="1"/>
  <c r="O29" i="4"/>
  <c r="P29" i="4" s="1"/>
  <c r="M26" i="4"/>
  <c r="N26" i="4" s="1"/>
  <c r="AL26" i="11"/>
  <c r="AL15" i="11"/>
  <c r="AL17" i="11"/>
  <c r="AL16" i="11"/>
  <c r="AO26" i="11"/>
  <c r="AO15" i="11"/>
  <c r="AO16" i="11"/>
  <c r="AO17" i="11"/>
  <c r="AH28" i="11"/>
  <c r="AH15" i="11"/>
  <c r="AH16" i="11"/>
  <c r="AH17" i="11"/>
  <c r="AI28" i="11"/>
  <c r="AI17" i="11"/>
  <c r="AI16" i="11"/>
  <c r="AI15" i="11"/>
  <c r="AJ29" i="11"/>
  <c r="AJ16" i="11"/>
  <c r="AJ17" i="11"/>
  <c r="AJ15" i="11"/>
  <c r="AK29" i="11"/>
  <c r="AK15" i="11"/>
  <c r="AK16" i="11"/>
  <c r="AK17" i="11"/>
  <c r="AN31" i="7"/>
  <c r="M10" i="4"/>
  <c r="N10" i="4" s="1"/>
  <c r="AN28" i="10"/>
  <c r="AN31" i="13"/>
  <c r="AN31" i="1"/>
  <c r="AM31" i="1"/>
  <c r="AM31" i="12"/>
  <c r="AM31" i="11"/>
  <c r="AM28" i="10"/>
  <c r="P16" i="4"/>
  <c r="AN31" i="6"/>
  <c r="P23" i="4"/>
  <c r="AM31" i="14"/>
  <c r="AN31" i="12"/>
  <c r="AN32" i="9"/>
  <c r="AN31" i="8"/>
  <c r="AN31" i="5"/>
  <c r="O10" i="4"/>
  <c r="P10" i="4" s="1"/>
  <c r="AN31" i="15"/>
  <c r="AN31" i="14"/>
  <c r="AN31" i="11"/>
  <c r="AM31" i="5"/>
  <c r="AM31" i="7"/>
  <c r="AM31" i="15"/>
  <c r="AM31" i="8"/>
  <c r="AM31" i="6"/>
  <c r="AM31" i="13"/>
  <c r="AM32" i="9"/>
  <c r="AH15" i="6"/>
  <c r="AJ11" i="1"/>
  <c r="AJ11" i="15"/>
  <c r="AL25" i="14"/>
  <c r="AK11" i="15"/>
  <c r="AL17" i="13"/>
  <c r="AL7" i="14"/>
  <c r="AL29" i="14"/>
  <c r="AL21" i="13"/>
  <c r="AL8" i="14"/>
  <c r="AJ28" i="15"/>
  <c r="AL9" i="14"/>
  <c r="AL11" i="14"/>
  <c r="AJ28" i="8"/>
  <c r="AL17" i="14"/>
  <c r="AJ20" i="7"/>
  <c r="AL22" i="14"/>
  <c r="AL7" i="5"/>
  <c r="AL8" i="13"/>
  <c r="AL21" i="5"/>
  <c r="AL11" i="13"/>
  <c r="AL15" i="14"/>
  <c r="AJ28" i="1"/>
  <c r="AI14" i="15"/>
  <c r="AO8" i="12"/>
  <c r="AL18" i="14"/>
  <c r="AL29" i="1"/>
  <c r="AL11" i="5"/>
  <c r="AL24" i="5"/>
  <c r="AO7" i="6"/>
  <c r="AH22" i="6"/>
  <c r="AJ24" i="7"/>
  <c r="AJ11" i="8"/>
  <c r="AL29" i="8"/>
  <c r="AO20" i="6"/>
  <c r="AO14" i="12"/>
  <c r="AL20" i="14"/>
  <c r="AL29" i="5"/>
  <c r="AO11" i="6"/>
  <c r="AO24" i="6"/>
  <c r="AJ7" i="7"/>
  <c r="AL25" i="7"/>
  <c r="AK13" i="13"/>
  <c r="AJ7" i="13"/>
  <c r="AL13" i="14"/>
  <c r="AL21" i="14"/>
  <c r="AJ7" i="1"/>
  <c r="AL13" i="5"/>
  <c r="AO28" i="6"/>
  <c r="AJ8" i="7"/>
  <c r="AO25" i="12"/>
  <c r="AL14" i="5"/>
  <c r="AO13" i="6"/>
  <c r="AJ11" i="7"/>
  <c r="AJ15" i="8"/>
  <c r="AK11" i="13"/>
  <c r="AJ24" i="13"/>
  <c r="AI8" i="15"/>
  <c r="AJ13" i="7"/>
  <c r="AL21" i="8"/>
  <c r="AJ28" i="13"/>
  <c r="AL17" i="5"/>
  <c r="AL14" i="7"/>
  <c r="AJ22" i="8"/>
  <c r="AJ20" i="1"/>
  <c r="AL20" i="5"/>
  <c r="AO17" i="6"/>
  <c r="AJ17" i="7"/>
  <c r="AK24" i="8"/>
  <c r="AL21" i="12"/>
  <c r="AO21" i="12"/>
  <c r="AO29" i="12"/>
  <c r="AK7" i="13"/>
  <c r="AL24" i="13"/>
  <c r="AJ14" i="14"/>
  <c r="AK18" i="15"/>
  <c r="AL29" i="15"/>
  <c r="AK7" i="1"/>
  <c r="AJ17" i="1"/>
  <c r="AL8" i="5"/>
  <c r="AL25" i="5"/>
  <c r="AI15" i="6"/>
  <c r="AI22" i="6"/>
  <c r="AL8" i="7"/>
  <c r="AJ28" i="7"/>
  <c r="AJ7" i="8"/>
  <c r="AJ18" i="8"/>
  <c r="AL25" i="8"/>
  <c r="AJ7" i="12"/>
  <c r="AJ13" i="12"/>
  <c r="AJ17" i="12"/>
  <c r="AJ24" i="12"/>
  <c r="AL7" i="13"/>
  <c r="AJ13" i="13"/>
  <c r="AJ17" i="13"/>
  <c r="AL25" i="13"/>
  <c r="AJ11" i="14"/>
  <c r="AL14" i="14"/>
  <c r="AJ28" i="14"/>
  <c r="AJ7" i="15"/>
  <c r="AJ20" i="15"/>
  <c r="AL8" i="1"/>
  <c r="AJ11" i="5"/>
  <c r="AL28" i="5"/>
  <c r="AL7" i="6"/>
  <c r="AL13" i="6"/>
  <c r="AL17" i="6"/>
  <c r="AL24" i="6"/>
  <c r="AL9" i="7"/>
  <c r="AL29" i="7"/>
  <c r="AK7" i="8"/>
  <c r="AJ20" i="8"/>
  <c r="AO25" i="8"/>
  <c r="AJ17" i="14"/>
  <c r="AJ24" i="14"/>
  <c r="AK7" i="15"/>
  <c r="AL21" i="15"/>
  <c r="AJ17" i="5"/>
  <c r="AL8" i="8"/>
  <c r="AJ13" i="8"/>
  <c r="AK20" i="8"/>
  <c r="AJ26" i="8"/>
  <c r="AK7" i="12"/>
  <c r="AK13" i="12"/>
  <c r="AK17" i="12"/>
  <c r="AK24" i="12"/>
  <c r="AL8" i="12"/>
  <c r="AL14" i="12"/>
  <c r="AL25" i="12"/>
  <c r="AO8" i="13"/>
  <c r="AL13" i="13"/>
  <c r="AL28" i="13"/>
  <c r="AH7" i="14"/>
  <c r="AJ20" i="14"/>
  <c r="AJ13" i="15"/>
  <c r="AK22" i="15"/>
  <c r="AL21" i="1"/>
  <c r="AH9" i="6"/>
  <c r="AH18" i="6"/>
  <c r="AH26" i="6"/>
  <c r="AL11" i="7"/>
  <c r="AO8" i="8"/>
  <c r="AK13" i="8"/>
  <c r="AJ11" i="13"/>
  <c r="AL14" i="13"/>
  <c r="AJ20" i="13"/>
  <c r="AL29" i="13"/>
  <c r="AJ7" i="14"/>
  <c r="AL8" i="15"/>
  <c r="AK13" i="15"/>
  <c r="AK15" i="15"/>
  <c r="AJ24" i="15"/>
  <c r="AJ13" i="1"/>
  <c r="AJ24" i="1"/>
  <c r="AJ13" i="5"/>
  <c r="AI9" i="6"/>
  <c r="AI18" i="6"/>
  <c r="AI26" i="6"/>
  <c r="AJ9" i="8"/>
  <c r="AL14" i="8"/>
  <c r="AJ17" i="8"/>
  <c r="AO21" i="8"/>
  <c r="AK28" i="8"/>
  <c r="AL29" i="12"/>
  <c r="AJ11" i="12"/>
  <c r="AJ20" i="12"/>
  <c r="AJ28" i="12"/>
  <c r="AO14" i="13"/>
  <c r="AL20" i="13"/>
  <c r="AK9" i="15"/>
  <c r="AJ17" i="15"/>
  <c r="AL25" i="15"/>
  <c r="AL14" i="1"/>
  <c r="AL25" i="1"/>
  <c r="AL11" i="6"/>
  <c r="AL20" i="6"/>
  <c r="AL28" i="6"/>
  <c r="AL21" i="7"/>
  <c r="AO14" i="8"/>
  <c r="AK17" i="8"/>
  <c r="AK11" i="12"/>
  <c r="AK20" i="12"/>
  <c r="AK28" i="12"/>
  <c r="AJ8" i="14"/>
  <c r="AJ13" i="14"/>
  <c r="AL14" i="15"/>
  <c r="AK26" i="15"/>
  <c r="AJ7" i="5"/>
  <c r="AL7" i="7"/>
  <c r="AK11" i="8"/>
  <c r="AJ24" i="8"/>
  <c r="AO29" i="8"/>
  <c r="AH10" i="8"/>
  <c r="AI19" i="8"/>
  <c r="AL7" i="8"/>
  <c r="AH9" i="8"/>
  <c r="AJ10" i="8"/>
  <c r="AL11" i="8"/>
  <c r="AJ12" i="8"/>
  <c r="AL13" i="8"/>
  <c r="AH15" i="8"/>
  <c r="AJ16" i="8"/>
  <c r="AL17" i="8"/>
  <c r="AH18" i="8"/>
  <c r="AJ19" i="8"/>
  <c r="AL20" i="8"/>
  <c r="AH22" i="8"/>
  <c r="AJ23" i="8"/>
  <c r="AL24" i="8"/>
  <c r="AH26" i="8"/>
  <c r="AJ27" i="8"/>
  <c r="AL28" i="8"/>
  <c r="AH23" i="8"/>
  <c r="AH27" i="8"/>
  <c r="AI27" i="8"/>
  <c r="AO7" i="8"/>
  <c r="AI9" i="8"/>
  <c r="AK10" i="8"/>
  <c r="AO11" i="8"/>
  <c r="AK12" i="8"/>
  <c r="AO13" i="8"/>
  <c r="AI15" i="8"/>
  <c r="AK16" i="8"/>
  <c r="AO17" i="8"/>
  <c r="AI18" i="8"/>
  <c r="AK19" i="8"/>
  <c r="AO20" i="8"/>
  <c r="AI22" i="8"/>
  <c r="AK23" i="8"/>
  <c r="AO24" i="8"/>
  <c r="AI26" i="8"/>
  <c r="AK27" i="8"/>
  <c r="AO28" i="8"/>
  <c r="AI12" i="8"/>
  <c r="AI23" i="8"/>
  <c r="AH8" i="8"/>
  <c r="AL16" i="8"/>
  <c r="AH19" i="8"/>
  <c r="AL19" i="8"/>
  <c r="AH21" i="8"/>
  <c r="AL23" i="8"/>
  <c r="AI8" i="8"/>
  <c r="AK9" i="8"/>
  <c r="AO10" i="8"/>
  <c r="AO12" i="8"/>
  <c r="AI14" i="8"/>
  <c r="AK15" i="8"/>
  <c r="AO16" i="8"/>
  <c r="AK18" i="8"/>
  <c r="AO19" i="8"/>
  <c r="AI21" i="8"/>
  <c r="AK22" i="8"/>
  <c r="AO23" i="8"/>
  <c r="AI25" i="8"/>
  <c r="AK26" i="8"/>
  <c r="AO27" i="8"/>
  <c r="AI29" i="8"/>
  <c r="AH12" i="8"/>
  <c r="AH16" i="8"/>
  <c r="AH14" i="8"/>
  <c r="AH25" i="8"/>
  <c r="AL27" i="8"/>
  <c r="AH7" i="8"/>
  <c r="AJ8" i="8"/>
  <c r="AL9" i="8"/>
  <c r="AH11" i="8"/>
  <c r="AH13" i="8"/>
  <c r="AJ14" i="8"/>
  <c r="AL15" i="8"/>
  <c r="AH17" i="8"/>
  <c r="AL18" i="8"/>
  <c r="AH20" i="8"/>
  <c r="AJ21" i="8"/>
  <c r="AL22" i="8"/>
  <c r="AH24" i="8"/>
  <c r="AJ25" i="8"/>
  <c r="AL26" i="8"/>
  <c r="AH28" i="8"/>
  <c r="AI10" i="8"/>
  <c r="AI16" i="8"/>
  <c r="AL10" i="8"/>
  <c r="AI7" i="8"/>
  <c r="AK8" i="8"/>
  <c r="AO9" i="8"/>
  <c r="AI11" i="8"/>
  <c r="AI13" i="8"/>
  <c r="AK14" i="8"/>
  <c r="AO15" i="8"/>
  <c r="AI17" i="8"/>
  <c r="AO18" i="8"/>
  <c r="AI20" i="8"/>
  <c r="AK21" i="8"/>
  <c r="AO22" i="8"/>
  <c r="AI24" i="8"/>
  <c r="AK25" i="8"/>
  <c r="AH23" i="7"/>
  <c r="AK7" i="7"/>
  <c r="AO8" i="7"/>
  <c r="AI10" i="7"/>
  <c r="AK11" i="7"/>
  <c r="AI12" i="7"/>
  <c r="AK13" i="7"/>
  <c r="AO14" i="7"/>
  <c r="AI16" i="7"/>
  <c r="AK17" i="7"/>
  <c r="AI19" i="7"/>
  <c r="AK20" i="7"/>
  <c r="AO21" i="7"/>
  <c r="AI23" i="7"/>
  <c r="AK24" i="7"/>
  <c r="AO25" i="7"/>
  <c r="AI27" i="7"/>
  <c r="AK28" i="7"/>
  <c r="AO29" i="7"/>
  <c r="AJ12" i="7"/>
  <c r="AL13" i="7"/>
  <c r="AH15" i="7"/>
  <c r="AJ16" i="7"/>
  <c r="AL17" i="7"/>
  <c r="AH18" i="7"/>
  <c r="AJ19" i="7"/>
  <c r="AL20" i="7"/>
  <c r="AH22" i="7"/>
  <c r="AJ23" i="7"/>
  <c r="AL24" i="7"/>
  <c r="AH26" i="7"/>
  <c r="AJ27" i="7"/>
  <c r="AL28" i="7"/>
  <c r="AH10" i="7"/>
  <c r="AH16" i="7"/>
  <c r="AH27" i="7"/>
  <c r="AJ10" i="7"/>
  <c r="AO7" i="7"/>
  <c r="AI9" i="7"/>
  <c r="AK10" i="7"/>
  <c r="AO11" i="7"/>
  <c r="AK12" i="7"/>
  <c r="AO13" i="7"/>
  <c r="AI15" i="7"/>
  <c r="AK16" i="7"/>
  <c r="AO17" i="7"/>
  <c r="AI18" i="7"/>
  <c r="AK19" i="7"/>
  <c r="AO20" i="7"/>
  <c r="AI22" i="7"/>
  <c r="AK23" i="7"/>
  <c r="AO24" i="7"/>
  <c r="AI26" i="7"/>
  <c r="AK27" i="7"/>
  <c r="AO28" i="7"/>
  <c r="AH9" i="7"/>
  <c r="AH8" i="7"/>
  <c r="AJ9" i="7"/>
  <c r="AL10" i="7"/>
  <c r="AL12" i="7"/>
  <c r="AH14" i="7"/>
  <c r="AJ15" i="7"/>
  <c r="AL16" i="7"/>
  <c r="AJ18" i="7"/>
  <c r="AL19" i="7"/>
  <c r="AH21" i="7"/>
  <c r="AJ22" i="7"/>
  <c r="AL23" i="7"/>
  <c r="AH25" i="7"/>
  <c r="AJ26" i="7"/>
  <c r="AL27" i="7"/>
  <c r="AH29" i="7"/>
  <c r="AI8" i="7"/>
  <c r="AK9" i="7"/>
  <c r="AO10" i="7"/>
  <c r="AO12" i="7"/>
  <c r="AI14" i="7"/>
  <c r="AK15" i="7"/>
  <c r="AO16" i="7"/>
  <c r="AK18" i="7"/>
  <c r="AO19" i="7"/>
  <c r="AI21" i="7"/>
  <c r="AK22" i="7"/>
  <c r="AO23" i="7"/>
  <c r="AI25" i="7"/>
  <c r="AK26" i="7"/>
  <c r="AO27" i="7"/>
  <c r="AI29" i="7"/>
  <c r="AH13" i="7"/>
  <c r="AJ14" i="7"/>
  <c r="AL15" i="7"/>
  <c r="AH17" i="7"/>
  <c r="AL18" i="7"/>
  <c r="AH20" i="7"/>
  <c r="AJ21" i="7"/>
  <c r="AL22" i="7"/>
  <c r="AH24" i="7"/>
  <c r="AJ25" i="7"/>
  <c r="AH28" i="7"/>
  <c r="AJ29" i="7"/>
  <c r="AH12" i="7"/>
  <c r="AH19" i="7"/>
  <c r="AH7" i="7"/>
  <c r="AI7" i="7"/>
  <c r="AK8" i="7"/>
  <c r="AO9" i="7"/>
  <c r="AI11" i="7"/>
  <c r="AI13" i="7"/>
  <c r="AK14" i="7"/>
  <c r="AO15" i="7"/>
  <c r="AI17" i="7"/>
  <c r="AO18" i="7"/>
  <c r="AI20" i="7"/>
  <c r="AK21" i="7"/>
  <c r="AO22" i="7"/>
  <c r="AI24" i="7"/>
  <c r="AK25" i="7"/>
  <c r="AJ23" i="6"/>
  <c r="AK23" i="6"/>
  <c r="AJ7" i="6"/>
  <c r="AL8" i="6"/>
  <c r="AH10" i="6"/>
  <c r="AJ11" i="6"/>
  <c r="AH12" i="6"/>
  <c r="AJ13" i="6"/>
  <c r="AL14" i="6"/>
  <c r="AH16" i="6"/>
  <c r="AJ17" i="6"/>
  <c r="AH19" i="6"/>
  <c r="AJ20" i="6"/>
  <c r="AL21" i="6"/>
  <c r="AH23" i="6"/>
  <c r="AJ24" i="6"/>
  <c r="AL25" i="6"/>
  <c r="AH27" i="6"/>
  <c r="AJ28" i="6"/>
  <c r="AL29" i="6"/>
  <c r="AK7" i="6"/>
  <c r="AO8" i="6"/>
  <c r="AI10" i="6"/>
  <c r="AK11" i="6"/>
  <c r="AI12" i="6"/>
  <c r="AK13" i="6"/>
  <c r="AO14" i="6"/>
  <c r="AI16" i="6"/>
  <c r="AK17" i="6"/>
  <c r="AI19" i="6"/>
  <c r="AK20" i="6"/>
  <c r="AO21" i="6"/>
  <c r="AI23" i="6"/>
  <c r="AK24" i="6"/>
  <c r="AO25" i="6"/>
  <c r="AI27" i="6"/>
  <c r="AK28" i="6"/>
  <c r="AO29" i="6"/>
  <c r="AJ12" i="6"/>
  <c r="AJ19" i="6"/>
  <c r="AK10" i="6"/>
  <c r="AK16" i="6"/>
  <c r="AH8" i="6"/>
  <c r="AJ9" i="6"/>
  <c r="AL10" i="6"/>
  <c r="AL12" i="6"/>
  <c r="AH14" i="6"/>
  <c r="AJ15" i="6"/>
  <c r="AL16" i="6"/>
  <c r="AJ18" i="6"/>
  <c r="AL19" i="6"/>
  <c r="AH21" i="6"/>
  <c r="AJ22" i="6"/>
  <c r="AL23" i="6"/>
  <c r="AH25" i="6"/>
  <c r="AJ26" i="6"/>
  <c r="AL27" i="6"/>
  <c r="AH29" i="6"/>
  <c r="AJ10" i="6"/>
  <c r="AJ16" i="6"/>
  <c r="AI8" i="6"/>
  <c r="AK9" i="6"/>
  <c r="AO10" i="6"/>
  <c r="AO12" i="6"/>
  <c r="AI14" i="6"/>
  <c r="AK15" i="6"/>
  <c r="AO16" i="6"/>
  <c r="AK18" i="6"/>
  <c r="AO19" i="6"/>
  <c r="AI21" i="6"/>
  <c r="AK22" i="6"/>
  <c r="AO23" i="6"/>
  <c r="AI25" i="6"/>
  <c r="AK26" i="6"/>
  <c r="AO27" i="6"/>
  <c r="AI29" i="6"/>
  <c r="AK19" i="6"/>
  <c r="AK27" i="6"/>
  <c r="AH7" i="6"/>
  <c r="AJ8" i="6"/>
  <c r="AL9" i="6"/>
  <c r="AH11" i="6"/>
  <c r="AH13" i="6"/>
  <c r="AJ14" i="6"/>
  <c r="AL15" i="6"/>
  <c r="AH17" i="6"/>
  <c r="AL18" i="6"/>
  <c r="AH20" i="6"/>
  <c r="AJ21" i="6"/>
  <c r="AL22" i="6"/>
  <c r="AH24" i="6"/>
  <c r="AJ25" i="6"/>
  <c r="AJ29" i="6"/>
  <c r="AK12" i="6"/>
  <c r="AI7" i="6"/>
  <c r="AK8" i="6"/>
  <c r="AO9" i="6"/>
  <c r="AI11" i="6"/>
  <c r="AI13" i="6"/>
  <c r="AK14" i="6"/>
  <c r="AO15" i="6"/>
  <c r="AI17" i="6"/>
  <c r="AO18" i="6"/>
  <c r="AI20" i="6"/>
  <c r="AK21" i="6"/>
  <c r="AO22" i="6"/>
  <c r="AI24" i="6"/>
  <c r="AK25" i="6"/>
  <c r="AH19" i="5"/>
  <c r="AJ20" i="5"/>
  <c r="AH27" i="5"/>
  <c r="AJ28" i="5"/>
  <c r="AH23" i="5"/>
  <c r="AJ24" i="5"/>
  <c r="AK7" i="5"/>
  <c r="AO8" i="5"/>
  <c r="AI10" i="5"/>
  <c r="AK11" i="5"/>
  <c r="AI12" i="5"/>
  <c r="AK13" i="5"/>
  <c r="AO14" i="5"/>
  <c r="AI16" i="5"/>
  <c r="AK17" i="5"/>
  <c r="AI19" i="5"/>
  <c r="AK20" i="5"/>
  <c r="AO21" i="5"/>
  <c r="AI23" i="5"/>
  <c r="AK24" i="5"/>
  <c r="AO25" i="5"/>
  <c r="AI27" i="5"/>
  <c r="AK28" i="5"/>
  <c r="AO29" i="5"/>
  <c r="AH15" i="5"/>
  <c r="AJ16" i="5"/>
  <c r="AH18" i="5"/>
  <c r="AH22" i="5"/>
  <c r="AO7" i="5"/>
  <c r="AI9" i="5"/>
  <c r="AK10" i="5"/>
  <c r="AO11" i="5"/>
  <c r="AK12" i="5"/>
  <c r="AO13" i="5"/>
  <c r="AI15" i="5"/>
  <c r="AK16" i="5"/>
  <c r="AO17" i="5"/>
  <c r="AI18" i="5"/>
  <c r="AK19" i="5"/>
  <c r="AO20" i="5"/>
  <c r="AI22" i="5"/>
  <c r="AK23" i="5"/>
  <c r="AO24" i="5"/>
  <c r="AI26" i="5"/>
  <c r="AK27" i="5"/>
  <c r="AO28" i="5"/>
  <c r="AJ10" i="5"/>
  <c r="AH8" i="5"/>
  <c r="AJ9" i="5"/>
  <c r="AL10" i="5"/>
  <c r="AL12" i="5"/>
  <c r="AH14" i="5"/>
  <c r="AJ15" i="5"/>
  <c r="AL16" i="5"/>
  <c r="AJ18" i="5"/>
  <c r="AL19" i="5"/>
  <c r="AH21" i="5"/>
  <c r="AJ22" i="5"/>
  <c r="AL23" i="5"/>
  <c r="AH25" i="5"/>
  <c r="AJ26" i="5"/>
  <c r="AL27" i="5"/>
  <c r="AH29" i="5"/>
  <c r="AH16" i="5"/>
  <c r="AH9" i="5"/>
  <c r="AJ12" i="5"/>
  <c r="AI8" i="5"/>
  <c r="AK9" i="5"/>
  <c r="AO10" i="5"/>
  <c r="AO12" i="5"/>
  <c r="AI14" i="5"/>
  <c r="AK15" i="5"/>
  <c r="AO16" i="5"/>
  <c r="AK18" i="5"/>
  <c r="AO19" i="5"/>
  <c r="AI21" i="5"/>
  <c r="AK22" i="5"/>
  <c r="AO23" i="5"/>
  <c r="AI25" i="5"/>
  <c r="AK26" i="5"/>
  <c r="AO27" i="5"/>
  <c r="AI29" i="5"/>
  <c r="AH12" i="5"/>
  <c r="AJ23" i="5"/>
  <c r="AJ27" i="5"/>
  <c r="AH7" i="5"/>
  <c r="AJ8" i="5"/>
  <c r="AL9" i="5"/>
  <c r="AH11" i="5"/>
  <c r="AH13" i="5"/>
  <c r="AJ14" i="5"/>
  <c r="AL15" i="5"/>
  <c r="AH17" i="5"/>
  <c r="AL18" i="5"/>
  <c r="AH20" i="5"/>
  <c r="AJ21" i="5"/>
  <c r="AL22" i="5"/>
  <c r="AH24" i="5"/>
  <c r="AJ25" i="5"/>
  <c r="AH28" i="5"/>
  <c r="AJ29" i="5"/>
  <c r="AH10" i="5"/>
  <c r="AI7" i="5"/>
  <c r="AK8" i="5"/>
  <c r="AO9" i="5"/>
  <c r="AI11" i="5"/>
  <c r="AI13" i="5"/>
  <c r="AK14" i="5"/>
  <c r="AO15" i="5"/>
  <c r="AI17" i="5"/>
  <c r="AO18" i="5"/>
  <c r="AI20" i="5"/>
  <c r="AK21" i="5"/>
  <c r="AO22" i="5"/>
  <c r="AI24" i="5"/>
  <c r="AK25" i="5"/>
  <c r="AH12" i="1"/>
  <c r="AO8" i="1"/>
  <c r="AI10" i="1"/>
  <c r="AK11" i="1"/>
  <c r="AI12" i="1"/>
  <c r="AK13" i="1"/>
  <c r="AO14" i="1"/>
  <c r="AI16" i="1"/>
  <c r="AK17" i="1"/>
  <c r="AI19" i="1"/>
  <c r="AK20" i="1"/>
  <c r="AO21" i="1"/>
  <c r="AI23" i="1"/>
  <c r="AK24" i="1"/>
  <c r="AO25" i="1"/>
  <c r="AI27" i="1"/>
  <c r="AK28" i="1"/>
  <c r="AO29" i="1"/>
  <c r="AH19" i="1"/>
  <c r="AL7" i="1"/>
  <c r="AH9" i="1"/>
  <c r="AJ10" i="1"/>
  <c r="AL11" i="1"/>
  <c r="AJ12" i="1"/>
  <c r="AL13" i="1"/>
  <c r="AH15" i="1"/>
  <c r="AJ16" i="1"/>
  <c r="AL17" i="1"/>
  <c r="AH18" i="1"/>
  <c r="AJ19" i="1"/>
  <c r="AL20" i="1"/>
  <c r="AH22" i="1"/>
  <c r="AJ23" i="1"/>
  <c r="AL24" i="1"/>
  <c r="AH26" i="1"/>
  <c r="AJ27" i="1"/>
  <c r="AL28" i="1"/>
  <c r="AH10" i="1"/>
  <c r="AO7" i="1"/>
  <c r="AI9" i="1"/>
  <c r="AK10" i="1"/>
  <c r="AO11" i="1"/>
  <c r="AK12" i="1"/>
  <c r="AO13" i="1"/>
  <c r="AI15" i="1"/>
  <c r="AK16" i="1"/>
  <c r="AO17" i="1"/>
  <c r="AI18" i="1"/>
  <c r="AK19" i="1"/>
  <c r="AO20" i="1"/>
  <c r="AI22" i="1"/>
  <c r="AK23" i="1"/>
  <c r="AO24" i="1"/>
  <c r="AI26" i="1"/>
  <c r="AK27" i="1"/>
  <c r="AO28" i="1"/>
  <c r="AH16" i="1"/>
  <c r="AH8" i="1"/>
  <c r="AL10" i="1"/>
  <c r="AL12" i="1"/>
  <c r="AH14" i="1"/>
  <c r="AJ15" i="1"/>
  <c r="AL16" i="1"/>
  <c r="AJ18" i="1"/>
  <c r="AL19" i="1"/>
  <c r="AH21" i="1"/>
  <c r="AJ22" i="1"/>
  <c r="AL23" i="1"/>
  <c r="AH25" i="1"/>
  <c r="AJ26" i="1"/>
  <c r="AL27" i="1"/>
  <c r="AH29" i="1"/>
  <c r="AH27" i="1"/>
  <c r="AJ9" i="1"/>
  <c r="AK9" i="1"/>
  <c r="AI14" i="1"/>
  <c r="AK15" i="1"/>
  <c r="AO16" i="1"/>
  <c r="AK18" i="1"/>
  <c r="AI21" i="1"/>
  <c r="AK22" i="1"/>
  <c r="AI25" i="1"/>
  <c r="AK26" i="1"/>
  <c r="AO27" i="1"/>
  <c r="AI29" i="1"/>
  <c r="AH23" i="1"/>
  <c r="AO10" i="1"/>
  <c r="AO19" i="1"/>
  <c r="AH7" i="1"/>
  <c r="AJ8" i="1"/>
  <c r="AL9" i="1"/>
  <c r="AH11" i="1"/>
  <c r="AH13" i="1"/>
  <c r="AJ14" i="1"/>
  <c r="AL15" i="1"/>
  <c r="AH17" i="1"/>
  <c r="AL18" i="1"/>
  <c r="AH20" i="1"/>
  <c r="AJ21" i="1"/>
  <c r="AL22" i="1"/>
  <c r="AH24" i="1"/>
  <c r="AJ25" i="1"/>
  <c r="AH28" i="1"/>
  <c r="AI8" i="1"/>
  <c r="AO12" i="1"/>
  <c r="AO23" i="1"/>
  <c r="AI7" i="1"/>
  <c r="AK8" i="1"/>
  <c r="AO9" i="1"/>
  <c r="AI11" i="1"/>
  <c r="AI13" i="1"/>
  <c r="AK14" i="1"/>
  <c r="AO15" i="1"/>
  <c r="AI17" i="1"/>
  <c r="AO18" i="1"/>
  <c r="AI20" i="1"/>
  <c r="AK21" i="1"/>
  <c r="AO22" i="1"/>
  <c r="AI24" i="1"/>
  <c r="AK25" i="1"/>
  <c r="AH10" i="15"/>
  <c r="AI16" i="15"/>
  <c r="AK17" i="15"/>
  <c r="AI19" i="15"/>
  <c r="AK20" i="15"/>
  <c r="AO21" i="15"/>
  <c r="AI23" i="15"/>
  <c r="AK24" i="15"/>
  <c r="AO25" i="15"/>
  <c r="AI27" i="15"/>
  <c r="AK28" i="15"/>
  <c r="AO29" i="15"/>
  <c r="AH19" i="15"/>
  <c r="AO14" i="15"/>
  <c r="AL7" i="15"/>
  <c r="AH9" i="15"/>
  <c r="AJ10" i="15"/>
  <c r="AL11" i="15"/>
  <c r="AJ12" i="15"/>
  <c r="AL13" i="15"/>
  <c r="AH15" i="15"/>
  <c r="AJ16" i="15"/>
  <c r="AL17" i="15"/>
  <c r="AH18" i="15"/>
  <c r="AJ19" i="15"/>
  <c r="AL20" i="15"/>
  <c r="AH22" i="15"/>
  <c r="AJ23" i="15"/>
  <c r="AL24" i="15"/>
  <c r="AH26" i="15"/>
  <c r="AJ27" i="15"/>
  <c r="AL28" i="15"/>
  <c r="AH12" i="15"/>
  <c r="AH16" i="15"/>
  <c r="AH23" i="15"/>
  <c r="AO7" i="15"/>
  <c r="AI9" i="15"/>
  <c r="AK10" i="15"/>
  <c r="AO11" i="15"/>
  <c r="AK12" i="15"/>
  <c r="AO13" i="15"/>
  <c r="AI15" i="15"/>
  <c r="AK16" i="15"/>
  <c r="AO17" i="15"/>
  <c r="AI18" i="15"/>
  <c r="AK19" i="15"/>
  <c r="AO20" i="15"/>
  <c r="AI22" i="15"/>
  <c r="AK23" i="15"/>
  <c r="AO24" i="15"/>
  <c r="AI26" i="15"/>
  <c r="AK27" i="15"/>
  <c r="AO28" i="15"/>
  <c r="AH27" i="15"/>
  <c r="AO8" i="15"/>
  <c r="AI10" i="15"/>
  <c r="AI12" i="15"/>
  <c r="AH8" i="15"/>
  <c r="AJ9" i="15"/>
  <c r="AL10" i="15"/>
  <c r="AL12" i="15"/>
  <c r="AH14" i="15"/>
  <c r="AJ15" i="15"/>
  <c r="AL16" i="15"/>
  <c r="AJ18" i="15"/>
  <c r="AL19" i="15"/>
  <c r="AH21" i="15"/>
  <c r="AJ22" i="15"/>
  <c r="AL23" i="15"/>
  <c r="AH25" i="15"/>
  <c r="AJ26" i="15"/>
  <c r="AL27" i="15"/>
  <c r="AH29" i="15"/>
  <c r="AO12" i="15"/>
  <c r="AO16" i="15"/>
  <c r="AI21" i="15"/>
  <c r="AO27" i="15"/>
  <c r="AI29" i="15"/>
  <c r="AH7" i="15"/>
  <c r="AJ8" i="15"/>
  <c r="AL9" i="15"/>
  <c r="AH11" i="15"/>
  <c r="AH13" i="15"/>
  <c r="AJ14" i="15"/>
  <c r="AL15" i="15"/>
  <c r="AH17" i="15"/>
  <c r="AL18" i="15"/>
  <c r="AH20" i="15"/>
  <c r="AJ21" i="15"/>
  <c r="AL22" i="15"/>
  <c r="AH24" i="15"/>
  <c r="AJ25" i="15"/>
  <c r="AO10" i="15"/>
  <c r="AO19" i="15"/>
  <c r="AO23" i="15"/>
  <c r="AI25" i="15"/>
  <c r="AI7" i="15"/>
  <c r="AK8" i="15"/>
  <c r="AO9" i="15"/>
  <c r="AI11" i="15"/>
  <c r="AI13" i="15"/>
  <c r="AK14" i="15"/>
  <c r="AO15" i="15"/>
  <c r="AI17" i="15"/>
  <c r="AO18" i="15"/>
  <c r="AI20" i="15"/>
  <c r="AK21" i="15"/>
  <c r="AO22" i="15"/>
  <c r="AI24" i="15"/>
  <c r="AK25" i="15"/>
  <c r="AH10" i="14"/>
  <c r="AK7" i="14"/>
  <c r="AO8" i="14"/>
  <c r="AI10" i="14"/>
  <c r="AK11" i="14"/>
  <c r="AI12" i="14"/>
  <c r="AK13" i="14"/>
  <c r="AO14" i="14"/>
  <c r="AI16" i="14"/>
  <c r="AK17" i="14"/>
  <c r="AI19" i="14"/>
  <c r="AK20" i="14"/>
  <c r="AO21" i="14"/>
  <c r="AI23" i="14"/>
  <c r="AK24" i="14"/>
  <c r="AO25" i="14"/>
  <c r="AI27" i="14"/>
  <c r="AK28" i="14"/>
  <c r="AO29" i="14"/>
  <c r="AH22" i="14"/>
  <c r="AJ23" i="14"/>
  <c r="AL24" i="14"/>
  <c r="AH26" i="14"/>
  <c r="AJ27" i="14"/>
  <c r="AL28" i="14"/>
  <c r="AH23" i="14"/>
  <c r="AJ12" i="14"/>
  <c r="AH15" i="14"/>
  <c r="AH18" i="14"/>
  <c r="AJ19" i="14"/>
  <c r="AO7" i="14"/>
  <c r="AI9" i="14"/>
  <c r="AK10" i="14"/>
  <c r="AO11" i="14"/>
  <c r="AK12" i="14"/>
  <c r="AO13" i="14"/>
  <c r="AI15" i="14"/>
  <c r="AK16" i="14"/>
  <c r="AO17" i="14"/>
  <c r="AI18" i="14"/>
  <c r="AK19" i="14"/>
  <c r="AO20" i="14"/>
  <c r="AI22" i="14"/>
  <c r="AK23" i="14"/>
  <c r="AO24" i="14"/>
  <c r="AI26" i="14"/>
  <c r="AK27" i="14"/>
  <c r="AO28" i="14"/>
  <c r="AH12" i="14"/>
  <c r="AH19" i="14"/>
  <c r="AH9" i="14"/>
  <c r="AJ16" i="14"/>
  <c r="AH8" i="14"/>
  <c r="AJ9" i="14"/>
  <c r="AL10" i="14"/>
  <c r="AL12" i="14"/>
  <c r="AH14" i="14"/>
  <c r="AJ15" i="14"/>
  <c r="AL16" i="14"/>
  <c r="AJ18" i="14"/>
  <c r="AL19" i="14"/>
  <c r="AH21" i="14"/>
  <c r="AJ22" i="14"/>
  <c r="AL23" i="14"/>
  <c r="AH25" i="14"/>
  <c r="AJ26" i="14"/>
  <c r="AL27" i="14"/>
  <c r="AH29" i="14"/>
  <c r="AH16" i="14"/>
  <c r="AH27" i="14"/>
  <c r="AJ10" i="14"/>
  <c r="AI8" i="14"/>
  <c r="AK9" i="14"/>
  <c r="AO10" i="14"/>
  <c r="AO12" i="14"/>
  <c r="AI14" i="14"/>
  <c r="AK15" i="14"/>
  <c r="AO16" i="14"/>
  <c r="AK18" i="14"/>
  <c r="AO19" i="14"/>
  <c r="AI21" i="14"/>
  <c r="AK22" i="14"/>
  <c r="AO23" i="14"/>
  <c r="AI25" i="14"/>
  <c r="AK26" i="14"/>
  <c r="AO27" i="14"/>
  <c r="AI29" i="14"/>
  <c r="AH11" i="14"/>
  <c r="AH13" i="14"/>
  <c r="AH24" i="14"/>
  <c r="AJ25" i="14"/>
  <c r="AH28" i="14"/>
  <c r="AJ29" i="14"/>
  <c r="AH17" i="14"/>
  <c r="AI7" i="14"/>
  <c r="AK8" i="14"/>
  <c r="AO9" i="14"/>
  <c r="AI11" i="14"/>
  <c r="AI13" i="14"/>
  <c r="AK14" i="14"/>
  <c r="AO15" i="14"/>
  <c r="AI17" i="14"/>
  <c r="AO18" i="14"/>
  <c r="AI20" i="14"/>
  <c r="AK21" i="14"/>
  <c r="AO22" i="14"/>
  <c r="AI24" i="14"/>
  <c r="AK25" i="14"/>
  <c r="AH16" i="13"/>
  <c r="AI16" i="13"/>
  <c r="AK17" i="13"/>
  <c r="AI19" i="13"/>
  <c r="AK20" i="13"/>
  <c r="AO21" i="13"/>
  <c r="AI23" i="13"/>
  <c r="AK24" i="13"/>
  <c r="AO25" i="13"/>
  <c r="AI27" i="13"/>
  <c r="AK28" i="13"/>
  <c r="AO29" i="13"/>
  <c r="AJ12" i="13"/>
  <c r="AH10" i="13"/>
  <c r="AH19" i="13"/>
  <c r="AH22" i="13"/>
  <c r="AO7" i="13"/>
  <c r="AI9" i="13"/>
  <c r="AK10" i="13"/>
  <c r="AO11" i="13"/>
  <c r="AK12" i="13"/>
  <c r="AO13" i="13"/>
  <c r="AI15" i="13"/>
  <c r="AK16" i="13"/>
  <c r="AO17" i="13"/>
  <c r="AI18" i="13"/>
  <c r="AK19" i="13"/>
  <c r="AO20" i="13"/>
  <c r="AI22" i="13"/>
  <c r="AK23" i="13"/>
  <c r="AO24" i="13"/>
  <c r="AI26" i="13"/>
  <c r="AK27" i="13"/>
  <c r="AO28" i="13"/>
  <c r="AH27" i="13"/>
  <c r="AJ10" i="13"/>
  <c r="AH15" i="13"/>
  <c r="AH18" i="13"/>
  <c r="AJ23" i="13"/>
  <c r="AH8" i="13"/>
  <c r="AJ9" i="13"/>
  <c r="AL10" i="13"/>
  <c r="AL12" i="13"/>
  <c r="AH14" i="13"/>
  <c r="AJ15" i="13"/>
  <c r="AL16" i="13"/>
  <c r="AJ18" i="13"/>
  <c r="AL19" i="13"/>
  <c r="AH21" i="13"/>
  <c r="AJ22" i="13"/>
  <c r="AL23" i="13"/>
  <c r="AH25" i="13"/>
  <c r="AJ26" i="13"/>
  <c r="AL27" i="13"/>
  <c r="AH29" i="13"/>
  <c r="AH12" i="13"/>
  <c r="AH23" i="13"/>
  <c r="AI12" i="13"/>
  <c r="AH9" i="13"/>
  <c r="AI8" i="13"/>
  <c r="AK9" i="13"/>
  <c r="AO10" i="13"/>
  <c r="AO12" i="13"/>
  <c r="AI14" i="13"/>
  <c r="AK15" i="13"/>
  <c r="AO16" i="13"/>
  <c r="AK18" i="13"/>
  <c r="AO19" i="13"/>
  <c r="AI21" i="13"/>
  <c r="AK22" i="13"/>
  <c r="AO23" i="13"/>
  <c r="AI25" i="13"/>
  <c r="AK26" i="13"/>
  <c r="AO27" i="13"/>
  <c r="AI29" i="13"/>
  <c r="AJ16" i="13"/>
  <c r="AJ19" i="13"/>
  <c r="AH26" i="13"/>
  <c r="AH7" i="13"/>
  <c r="AJ8" i="13"/>
  <c r="AL9" i="13"/>
  <c r="AH11" i="13"/>
  <c r="AH13" i="13"/>
  <c r="AJ14" i="13"/>
  <c r="AL15" i="13"/>
  <c r="AH17" i="13"/>
  <c r="AL18" i="13"/>
  <c r="AH20" i="13"/>
  <c r="AJ21" i="13"/>
  <c r="AL22" i="13"/>
  <c r="AH24" i="13"/>
  <c r="AJ25" i="13"/>
  <c r="AJ29" i="13"/>
  <c r="AI10" i="13"/>
  <c r="AI7" i="13"/>
  <c r="AK8" i="13"/>
  <c r="AO9" i="13"/>
  <c r="AI11" i="13"/>
  <c r="AI13" i="13"/>
  <c r="AK14" i="13"/>
  <c r="AO15" i="13"/>
  <c r="AI17" i="13"/>
  <c r="AO18" i="13"/>
  <c r="AI20" i="13"/>
  <c r="AK21" i="13"/>
  <c r="AO22" i="13"/>
  <c r="AI24" i="13"/>
  <c r="AK25" i="13"/>
  <c r="AH16" i="12"/>
  <c r="AI16" i="12"/>
  <c r="AL7" i="12"/>
  <c r="AH9" i="12"/>
  <c r="AJ10" i="12"/>
  <c r="AL11" i="12"/>
  <c r="AJ12" i="12"/>
  <c r="AL13" i="12"/>
  <c r="AH15" i="12"/>
  <c r="AJ16" i="12"/>
  <c r="AL17" i="12"/>
  <c r="AH18" i="12"/>
  <c r="AJ19" i="12"/>
  <c r="AL20" i="12"/>
  <c r="AH22" i="12"/>
  <c r="AJ23" i="12"/>
  <c r="AL24" i="12"/>
  <c r="AH26" i="12"/>
  <c r="AJ27" i="12"/>
  <c r="AL28" i="12"/>
  <c r="AI12" i="12"/>
  <c r="AO7" i="12"/>
  <c r="AI9" i="12"/>
  <c r="AK10" i="12"/>
  <c r="AO11" i="12"/>
  <c r="AK12" i="12"/>
  <c r="AO13" i="12"/>
  <c r="AI15" i="12"/>
  <c r="AK16" i="12"/>
  <c r="AO17" i="12"/>
  <c r="AI18" i="12"/>
  <c r="AK19" i="12"/>
  <c r="AO20" i="12"/>
  <c r="AI22" i="12"/>
  <c r="AK23" i="12"/>
  <c r="AO24" i="12"/>
  <c r="AI26" i="12"/>
  <c r="AK27" i="12"/>
  <c r="AO28" i="12"/>
  <c r="AH12" i="12"/>
  <c r="C15" i="4" s="1"/>
  <c r="AH27" i="12"/>
  <c r="AH8" i="12"/>
  <c r="AJ9" i="12"/>
  <c r="AL10" i="12"/>
  <c r="AL12" i="12"/>
  <c r="AH14" i="12"/>
  <c r="AJ15" i="12"/>
  <c r="AL16" i="12"/>
  <c r="AJ18" i="12"/>
  <c r="AL19" i="12"/>
  <c r="AH21" i="12"/>
  <c r="AJ22" i="12"/>
  <c r="AL23" i="12"/>
  <c r="AH25" i="12"/>
  <c r="AJ26" i="12"/>
  <c r="AL27" i="12"/>
  <c r="AH29" i="12"/>
  <c r="AH19" i="12"/>
  <c r="AI10" i="12"/>
  <c r="AI27" i="12"/>
  <c r="AI8" i="12"/>
  <c r="AK9" i="12"/>
  <c r="AO10" i="12"/>
  <c r="AO12" i="12"/>
  <c r="AI14" i="12"/>
  <c r="AK15" i="12"/>
  <c r="AO16" i="12"/>
  <c r="AK18" i="12"/>
  <c r="AO19" i="12"/>
  <c r="AI21" i="12"/>
  <c r="AK22" i="12"/>
  <c r="AO23" i="12"/>
  <c r="AI25" i="12"/>
  <c r="AK26" i="12"/>
  <c r="AO27" i="12"/>
  <c r="AI29" i="12"/>
  <c r="AH10" i="12"/>
  <c r="AH7" i="12"/>
  <c r="AJ8" i="12"/>
  <c r="AL9" i="12"/>
  <c r="AH11" i="12"/>
  <c r="AH13" i="12"/>
  <c r="AJ14" i="12"/>
  <c r="AL15" i="12"/>
  <c r="AH17" i="12"/>
  <c r="AL18" i="12"/>
  <c r="AH20" i="12"/>
  <c r="AJ21" i="12"/>
  <c r="AL22" i="12"/>
  <c r="AH24" i="12"/>
  <c r="AJ25" i="12"/>
  <c r="AH28" i="12"/>
  <c r="AI19" i="12"/>
  <c r="AI23" i="12"/>
  <c r="AI7" i="12"/>
  <c r="AK8" i="12"/>
  <c r="AO9" i="12"/>
  <c r="AI11" i="12"/>
  <c r="AI13" i="12"/>
  <c r="AK14" i="12"/>
  <c r="AO15" i="12"/>
  <c r="AI17" i="12"/>
  <c r="AO18" i="12"/>
  <c r="AI20" i="12"/>
  <c r="AK21" i="12"/>
  <c r="AO22" i="12"/>
  <c r="AI24" i="12"/>
  <c r="AK25" i="12"/>
  <c r="AJ7" i="11"/>
  <c r="AL8" i="11"/>
  <c r="AH10" i="11"/>
  <c r="AJ11" i="11"/>
  <c r="AH12" i="11"/>
  <c r="AJ13" i="11"/>
  <c r="AL14" i="11"/>
  <c r="AH19" i="11"/>
  <c r="AJ20" i="11"/>
  <c r="AL21" i="11"/>
  <c r="AH23" i="11"/>
  <c r="AJ24" i="11"/>
  <c r="AL25" i="11"/>
  <c r="AH27" i="11"/>
  <c r="AJ28" i="11"/>
  <c r="AL29" i="11"/>
  <c r="AK7" i="11"/>
  <c r="AO8" i="11"/>
  <c r="AI10" i="11"/>
  <c r="AK11" i="11"/>
  <c r="AI12" i="11"/>
  <c r="AK13" i="11"/>
  <c r="AO14" i="11"/>
  <c r="AI19" i="11"/>
  <c r="AK20" i="11"/>
  <c r="AO21" i="11"/>
  <c r="AI23" i="11"/>
  <c r="AK24" i="11"/>
  <c r="AO25" i="11"/>
  <c r="AI27" i="11"/>
  <c r="AK28" i="11"/>
  <c r="AO29" i="11"/>
  <c r="AL7" i="11"/>
  <c r="AH9" i="11"/>
  <c r="AJ10" i="11"/>
  <c r="AL11" i="11"/>
  <c r="AJ12" i="11"/>
  <c r="AL13" i="11"/>
  <c r="AH18" i="11"/>
  <c r="AJ19" i="11"/>
  <c r="AL20" i="11"/>
  <c r="AH22" i="11"/>
  <c r="AJ23" i="11"/>
  <c r="AL24" i="11"/>
  <c r="AH26" i="11"/>
  <c r="AJ27" i="11"/>
  <c r="AL28" i="11"/>
  <c r="AO7" i="11"/>
  <c r="AI9" i="11"/>
  <c r="AK10" i="11"/>
  <c r="AO11" i="11"/>
  <c r="AK12" i="11"/>
  <c r="AO13" i="11"/>
  <c r="AI18" i="11"/>
  <c r="AK19" i="11"/>
  <c r="AO20" i="11"/>
  <c r="AI22" i="11"/>
  <c r="AK23" i="11"/>
  <c r="AO24" i="11"/>
  <c r="AI26" i="11"/>
  <c r="AK27" i="11"/>
  <c r="AO28" i="11"/>
  <c r="AH8" i="11"/>
  <c r="AJ9" i="11"/>
  <c r="AL10" i="11"/>
  <c r="AL12" i="11"/>
  <c r="AH14" i="11"/>
  <c r="AJ18" i="11"/>
  <c r="AL19" i="11"/>
  <c r="AH21" i="11"/>
  <c r="AJ22" i="11"/>
  <c r="AL23" i="11"/>
  <c r="AH25" i="11"/>
  <c r="AJ26" i="11"/>
  <c r="AL27" i="11"/>
  <c r="AH29" i="11"/>
  <c r="AI8" i="11"/>
  <c r="AK9" i="11"/>
  <c r="AO10" i="11"/>
  <c r="AO12" i="11"/>
  <c r="AI14" i="11"/>
  <c r="AK18" i="11"/>
  <c r="AO19" i="11"/>
  <c r="AI21" i="11"/>
  <c r="AK22" i="11"/>
  <c r="AO23" i="11"/>
  <c r="AI25" i="11"/>
  <c r="AK26" i="11"/>
  <c r="AO27" i="11"/>
  <c r="AI29" i="11"/>
  <c r="AH7" i="11"/>
  <c r="AJ8" i="11"/>
  <c r="AL9" i="11"/>
  <c r="AH11" i="11"/>
  <c r="AH13" i="11"/>
  <c r="AJ14" i="11"/>
  <c r="AL18" i="11"/>
  <c r="AH20" i="11"/>
  <c r="AJ21" i="11"/>
  <c r="AL22" i="11"/>
  <c r="AH24" i="11"/>
  <c r="AJ25" i="11"/>
  <c r="AI7" i="11"/>
  <c r="AK8" i="11"/>
  <c r="AO9" i="11"/>
  <c r="AI11" i="11"/>
  <c r="AI13" i="11"/>
  <c r="AK14" i="11"/>
  <c r="AO18" i="11"/>
  <c r="AI20" i="11"/>
  <c r="AK21" i="11"/>
  <c r="AO22" i="11"/>
  <c r="AI24" i="11"/>
  <c r="AK25" i="11"/>
  <c r="AK7" i="10"/>
  <c r="AO8" i="10"/>
  <c r="AI10" i="10"/>
  <c r="AK11" i="10"/>
  <c r="AI12" i="10"/>
  <c r="AK13" i="10"/>
  <c r="AO14" i="10"/>
  <c r="AI16" i="10"/>
  <c r="AK17" i="10"/>
  <c r="AO18" i="10"/>
  <c r="AI20" i="10"/>
  <c r="AK21" i="10"/>
  <c r="AO22" i="10"/>
  <c r="AI24" i="10"/>
  <c r="AK25" i="10"/>
  <c r="AO26" i="10"/>
  <c r="AL7" i="10"/>
  <c r="AH9" i="10"/>
  <c r="AJ10" i="10"/>
  <c r="AL11" i="10"/>
  <c r="AJ12" i="10"/>
  <c r="AL13" i="10"/>
  <c r="AH15" i="10"/>
  <c r="AJ16" i="10"/>
  <c r="AL17" i="10"/>
  <c r="AH19" i="10"/>
  <c r="AJ20" i="10"/>
  <c r="AL21" i="10"/>
  <c r="AH23" i="10"/>
  <c r="AJ24" i="10"/>
  <c r="AL25" i="10"/>
  <c r="AO7" i="10"/>
  <c r="AI9" i="10"/>
  <c r="AK10" i="10"/>
  <c r="AO11" i="10"/>
  <c r="AK12" i="10"/>
  <c r="AO13" i="10"/>
  <c r="AI15" i="10"/>
  <c r="AK16" i="10"/>
  <c r="AO17" i="10"/>
  <c r="AI19" i="10"/>
  <c r="AK20" i="10"/>
  <c r="AO21" i="10"/>
  <c r="AI23" i="10"/>
  <c r="AK24" i="10"/>
  <c r="AO25" i="10"/>
  <c r="AH8" i="10"/>
  <c r="AJ9" i="10"/>
  <c r="AL10" i="10"/>
  <c r="AL12" i="10"/>
  <c r="AH14" i="10"/>
  <c r="AJ15" i="10"/>
  <c r="AL16" i="10"/>
  <c r="AH18" i="10"/>
  <c r="AJ19" i="10"/>
  <c r="AL20" i="10"/>
  <c r="AH22" i="10"/>
  <c r="AJ23" i="10"/>
  <c r="AL24" i="10"/>
  <c r="AH26" i="10"/>
  <c r="AI8" i="10"/>
  <c r="AK9" i="10"/>
  <c r="AO10" i="10"/>
  <c r="AO12" i="10"/>
  <c r="AI14" i="10"/>
  <c r="AK15" i="10"/>
  <c r="AO16" i="10"/>
  <c r="AI18" i="10"/>
  <c r="AK19" i="10"/>
  <c r="AO20" i="10"/>
  <c r="AI22" i="10"/>
  <c r="AK23" i="10"/>
  <c r="AO24" i="10"/>
  <c r="AI26" i="10"/>
  <c r="AJ7" i="10"/>
  <c r="AL8" i="10"/>
  <c r="AJ11" i="10"/>
  <c r="AH12" i="10"/>
  <c r="AJ13" i="10"/>
  <c r="AL14" i="10"/>
  <c r="AH16" i="10"/>
  <c r="AJ17" i="10"/>
  <c r="AL18" i="10"/>
  <c r="AH20" i="10"/>
  <c r="AJ21" i="10"/>
  <c r="AL22" i="10"/>
  <c r="AH24" i="10"/>
  <c r="AJ25" i="10"/>
  <c r="AL26" i="10"/>
  <c r="AH7" i="10"/>
  <c r="AJ8" i="10"/>
  <c r="AL9" i="10"/>
  <c r="AH11" i="10"/>
  <c r="AH13" i="10"/>
  <c r="AJ14" i="10"/>
  <c r="AL15" i="10"/>
  <c r="AH17" i="10"/>
  <c r="AJ18" i="10"/>
  <c r="AL19" i="10"/>
  <c r="AH21" i="10"/>
  <c r="AJ22" i="10"/>
  <c r="AH25" i="10"/>
  <c r="AI7" i="10"/>
  <c r="AK8" i="10"/>
  <c r="AO9" i="10"/>
  <c r="AI11" i="10"/>
  <c r="AI13" i="10"/>
  <c r="AK14" i="10"/>
  <c r="AO15" i="10"/>
  <c r="AI17" i="10"/>
  <c r="AK18" i="10"/>
  <c r="AO19" i="10"/>
  <c r="AI21" i="10"/>
  <c r="AK22" i="10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29" i="15"/>
  <c r="B28" i="15"/>
  <c r="B27" i="15"/>
  <c r="B26" i="15"/>
  <c r="B25" i="15"/>
  <c r="B24" i="15"/>
  <c r="B23" i="15"/>
  <c r="B22" i="15"/>
  <c r="B21" i="15"/>
  <c r="B20" i="15"/>
  <c r="B19" i="15"/>
  <c r="B18" i="15"/>
  <c r="B17" i="15"/>
  <c r="B16" i="15"/>
  <c r="B15" i="15"/>
  <c r="B14" i="15"/>
  <c r="B13" i="15"/>
  <c r="B12" i="15"/>
  <c r="B11" i="15"/>
  <c r="B10" i="15"/>
  <c r="B9" i="15"/>
  <c r="B8" i="15"/>
  <c r="B7" i="15"/>
  <c r="B29" i="14"/>
  <c r="B28" i="14"/>
  <c r="B27" i="14"/>
  <c r="B26" i="14"/>
  <c r="B25" i="14"/>
  <c r="B24" i="14"/>
  <c r="B23" i="14"/>
  <c r="B22" i="14"/>
  <c r="B21" i="14"/>
  <c r="B20" i="14"/>
  <c r="B19" i="14"/>
  <c r="B18" i="14"/>
  <c r="B17" i="14"/>
  <c r="B16" i="14"/>
  <c r="B15" i="14"/>
  <c r="B14" i="14"/>
  <c r="B13" i="14"/>
  <c r="B12" i="14"/>
  <c r="B11" i="14"/>
  <c r="B10" i="14"/>
  <c r="B9" i="14"/>
  <c r="B8" i="14"/>
  <c r="B7" i="14"/>
  <c r="B29" i="13"/>
  <c r="B28" i="13"/>
  <c r="B27" i="13"/>
  <c r="B26" i="13"/>
  <c r="B25" i="13"/>
  <c r="B24" i="13"/>
  <c r="B23" i="13"/>
  <c r="B22" i="13"/>
  <c r="B21" i="13"/>
  <c r="B20" i="13"/>
  <c r="B19" i="13"/>
  <c r="B18" i="13"/>
  <c r="B17" i="13"/>
  <c r="B16" i="13"/>
  <c r="B15" i="13"/>
  <c r="B14" i="13"/>
  <c r="B13" i="13"/>
  <c r="B12" i="13"/>
  <c r="B11" i="13"/>
  <c r="B10" i="13"/>
  <c r="B9" i="13"/>
  <c r="B8" i="13"/>
  <c r="B7" i="13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29" i="11"/>
  <c r="B28" i="11"/>
  <c r="B27" i="11"/>
  <c r="B26" i="11"/>
  <c r="B25" i="11"/>
  <c r="B24" i="11"/>
  <c r="B23" i="11"/>
  <c r="B22" i="11"/>
  <c r="B21" i="11"/>
  <c r="B20" i="11"/>
  <c r="B19" i="11"/>
  <c r="B18" i="11"/>
  <c r="B14" i="11"/>
  <c r="B13" i="11"/>
  <c r="B12" i="11"/>
  <c r="B11" i="11"/>
  <c r="B10" i="11"/>
  <c r="B9" i="11"/>
  <c r="B8" i="11"/>
  <c r="B7" i="11"/>
  <c r="B26" i="10"/>
  <c r="B25" i="10"/>
  <c r="B24" i="10"/>
  <c r="B23" i="10"/>
  <c r="B21" i="10"/>
  <c r="B20" i="10"/>
  <c r="B19" i="10"/>
  <c r="B18" i="10"/>
  <c r="B17" i="10"/>
  <c r="B16" i="10"/>
  <c r="B14" i="10"/>
  <c r="B13" i="10"/>
  <c r="B12" i="10"/>
  <c r="B11" i="10"/>
  <c r="B10" i="10"/>
  <c r="B9" i="10"/>
  <c r="B8" i="10"/>
  <c r="B7" i="10"/>
  <c r="B8" i="9"/>
  <c r="B9" i="9"/>
  <c r="B10" i="9"/>
  <c r="B11" i="9"/>
  <c r="B21" i="9"/>
  <c r="B22" i="9"/>
  <c r="B23" i="9"/>
  <c r="B24" i="9"/>
  <c r="B25" i="9"/>
  <c r="B26" i="9"/>
  <c r="B27" i="9"/>
  <c r="B28" i="9"/>
  <c r="B29" i="9"/>
  <c r="B30" i="9"/>
  <c r="B7" i="9"/>
  <c r="A31" i="8"/>
  <c r="A31" i="7"/>
  <c r="A31" i="6"/>
  <c r="A31" i="5"/>
  <c r="A31" i="1"/>
  <c r="A31" i="15"/>
  <c r="A31" i="14"/>
  <c r="A31" i="13"/>
  <c r="A31" i="12"/>
  <c r="A31" i="11"/>
  <c r="A28" i="10"/>
  <c r="A32" i="9"/>
  <c r="C6" i="8"/>
  <c r="C6" i="7"/>
  <c r="C6" i="6"/>
  <c r="C6" i="5"/>
  <c r="C6" i="1"/>
  <c r="C6" i="15"/>
  <c r="C6" i="14"/>
  <c r="C6" i="13"/>
  <c r="C6" i="12"/>
  <c r="C6" i="11"/>
  <c r="C6" i="10"/>
  <c r="C6" i="9"/>
  <c r="A1" i="9"/>
  <c r="A1" i="10"/>
  <c r="A1" i="11"/>
  <c r="A1" i="12"/>
  <c r="A1" i="13"/>
  <c r="A1" i="14"/>
  <c r="A1" i="15"/>
  <c r="A1" i="1"/>
  <c r="A1" i="5"/>
  <c r="A1" i="6"/>
  <c r="A1" i="7"/>
  <c r="A1" i="8"/>
  <c r="AO6" i="9"/>
  <c r="AL6" i="9"/>
  <c r="AK6" i="9"/>
  <c r="AJ6" i="9"/>
  <c r="AI6" i="9"/>
  <c r="AH6" i="9"/>
  <c r="C4" i="9"/>
  <c r="N19" i="4" l="1"/>
  <c r="P15" i="4"/>
  <c r="P30" i="4"/>
  <c r="P31" i="4"/>
  <c r="N31" i="4"/>
  <c r="N30" i="4"/>
  <c r="P33" i="4"/>
  <c r="N33" i="4"/>
  <c r="P32" i="4"/>
  <c r="N32" i="4"/>
  <c r="N16" i="4"/>
  <c r="N15" i="4"/>
  <c r="N17" i="4"/>
  <c r="P17" i="4"/>
  <c r="P21" i="4"/>
  <c r="P19" i="4"/>
  <c r="N18" i="4"/>
  <c r="N21" i="4"/>
  <c r="P18" i="4"/>
  <c r="P20" i="4"/>
  <c r="N20" i="4"/>
  <c r="AL31" i="5"/>
  <c r="AL31" i="7"/>
  <c r="AK9" i="9"/>
  <c r="I12" i="4" s="1"/>
  <c r="AK12" i="9"/>
  <c r="I15" i="4" s="1"/>
  <c r="AK15" i="9"/>
  <c r="I18" i="4" s="1"/>
  <c r="AK17" i="9"/>
  <c r="I20" i="4" s="1"/>
  <c r="AK21" i="9"/>
  <c r="I24" i="4" s="1"/>
  <c r="AK25" i="9"/>
  <c r="I28" i="4" s="1"/>
  <c r="AK29" i="9"/>
  <c r="I32" i="4" s="1"/>
  <c r="AK8" i="9"/>
  <c r="I11" i="4" s="1"/>
  <c r="AK20" i="9"/>
  <c r="I23" i="4" s="1"/>
  <c r="AK24" i="9"/>
  <c r="I27" i="4" s="1"/>
  <c r="AK28" i="9"/>
  <c r="I31" i="4" s="1"/>
  <c r="AK10" i="9"/>
  <c r="I13" i="4" s="1"/>
  <c r="AK16" i="9"/>
  <c r="I19" i="4" s="1"/>
  <c r="AK22" i="9"/>
  <c r="I25" i="4" s="1"/>
  <c r="AK30" i="9"/>
  <c r="I33" i="4" s="1"/>
  <c r="AK11" i="9"/>
  <c r="I14" i="4" s="1"/>
  <c r="AK14" i="9"/>
  <c r="I17" i="4" s="1"/>
  <c r="AK19" i="9"/>
  <c r="I22" i="4" s="1"/>
  <c r="AK23" i="9"/>
  <c r="I26" i="4" s="1"/>
  <c r="AK27" i="9"/>
  <c r="I30" i="4" s="1"/>
  <c r="AK13" i="9"/>
  <c r="I16" i="4" s="1"/>
  <c r="AK18" i="9"/>
  <c r="I21" i="4" s="1"/>
  <c r="AK26" i="9"/>
  <c r="I29" i="4" s="1"/>
  <c r="AK7" i="9"/>
  <c r="I10" i="4" s="1"/>
  <c r="J10" i="4" s="1"/>
  <c r="AL31" i="13"/>
  <c r="AJ31" i="8"/>
  <c r="AK31" i="13"/>
  <c r="AL7" i="9"/>
  <c r="AL10" i="9"/>
  <c r="K13" i="4" s="1"/>
  <c r="AL9" i="9"/>
  <c r="K12" i="4" s="1"/>
  <c r="AL12" i="9"/>
  <c r="K15" i="4" s="1"/>
  <c r="AL15" i="9"/>
  <c r="K18" i="4" s="1"/>
  <c r="AL17" i="9"/>
  <c r="K20" i="4" s="1"/>
  <c r="AL21" i="9"/>
  <c r="K24" i="4" s="1"/>
  <c r="AL25" i="9"/>
  <c r="K28" i="4" s="1"/>
  <c r="AL29" i="9"/>
  <c r="K32" i="4" s="1"/>
  <c r="AL8" i="9"/>
  <c r="K11" i="4" s="1"/>
  <c r="AL20" i="9"/>
  <c r="K23" i="4" s="1"/>
  <c r="AL28" i="9"/>
  <c r="K31" i="4" s="1"/>
  <c r="AL24" i="9"/>
  <c r="K27" i="4" s="1"/>
  <c r="AL13" i="9"/>
  <c r="K16" i="4" s="1"/>
  <c r="AL16" i="9"/>
  <c r="K19" i="4" s="1"/>
  <c r="AL11" i="9"/>
  <c r="K14" i="4" s="1"/>
  <c r="AL14" i="9"/>
  <c r="K17" i="4" s="1"/>
  <c r="AL23" i="9"/>
  <c r="K26" i="4" s="1"/>
  <c r="AL19" i="9"/>
  <c r="K22" i="4" s="1"/>
  <c r="AL27" i="9"/>
  <c r="K30" i="4" s="1"/>
  <c r="AL18" i="9"/>
  <c r="K21" i="4" s="1"/>
  <c r="AL30" i="9"/>
  <c r="K33" i="4" s="1"/>
  <c r="AL26" i="9"/>
  <c r="AL22" i="9"/>
  <c r="K25" i="4" s="1"/>
  <c r="L25" i="4" s="1"/>
  <c r="AJ31" i="13"/>
  <c r="AK31" i="15"/>
  <c r="AJ31" i="15"/>
  <c r="AJ31" i="1"/>
  <c r="AJ31" i="12"/>
  <c r="AI31" i="13"/>
  <c r="AL31" i="14"/>
  <c r="AJ31" i="5"/>
  <c r="AJ31" i="7"/>
  <c r="AH20" i="9"/>
  <c r="D23" i="4" s="1"/>
  <c r="AH11" i="9"/>
  <c r="D14" i="4" s="1"/>
  <c r="AH14" i="9"/>
  <c r="D17" i="4" s="1"/>
  <c r="AH19" i="9"/>
  <c r="C22" i="4" s="1"/>
  <c r="D22" i="4" s="1"/>
  <c r="AH23" i="9"/>
  <c r="C26" i="4" s="1"/>
  <c r="D26" i="4" s="1"/>
  <c r="AH27" i="9"/>
  <c r="D30" i="4" s="1"/>
  <c r="AH16" i="9"/>
  <c r="C19" i="4" s="1"/>
  <c r="D19" i="4" s="1"/>
  <c r="AH18" i="9"/>
  <c r="C21" i="4" s="1"/>
  <c r="D21" i="4" s="1"/>
  <c r="AH26" i="9"/>
  <c r="D29" i="4" s="1"/>
  <c r="AH7" i="9"/>
  <c r="D10" i="4" s="1"/>
  <c r="AH10" i="9"/>
  <c r="D13" i="4" s="1"/>
  <c r="AH13" i="9"/>
  <c r="D16" i="4" s="1"/>
  <c r="AH22" i="9"/>
  <c r="C25" i="4" s="1"/>
  <c r="D25" i="4" s="1"/>
  <c r="AH30" i="9"/>
  <c r="C33" i="4" s="1"/>
  <c r="D33" i="4" s="1"/>
  <c r="AH9" i="9"/>
  <c r="D12" i="4" s="1"/>
  <c r="AH15" i="9"/>
  <c r="D18" i="4" s="1"/>
  <c r="AH21" i="9"/>
  <c r="D24" i="4" s="1"/>
  <c r="AH29" i="9"/>
  <c r="D32" i="4" s="1"/>
  <c r="AH8" i="9"/>
  <c r="C11" i="4" s="1"/>
  <c r="D11" i="4" s="1"/>
  <c r="AH12" i="9"/>
  <c r="D15" i="4" s="1"/>
  <c r="AH17" i="9"/>
  <c r="C20" i="4" s="1"/>
  <c r="D20" i="4" s="1"/>
  <c r="AH25" i="9"/>
  <c r="D28" i="4" s="1"/>
  <c r="AH24" i="9"/>
  <c r="C27" i="4" s="1"/>
  <c r="D27" i="4" s="1"/>
  <c r="AH28" i="9"/>
  <c r="D31" i="4" s="1"/>
  <c r="AK31" i="12"/>
  <c r="AH31" i="12"/>
  <c r="AJ31" i="14"/>
  <c r="AI31" i="5"/>
  <c r="AH31" i="5"/>
  <c r="AO10" i="9"/>
  <c r="Q13" i="4" s="1"/>
  <c r="R13" i="4" s="1"/>
  <c r="AO13" i="9"/>
  <c r="Q16" i="4" s="1"/>
  <c r="R16" i="4" s="1"/>
  <c r="AO16" i="9"/>
  <c r="Q19" i="4" s="1"/>
  <c r="R19" i="4" s="1"/>
  <c r="AO18" i="9"/>
  <c r="Q21" i="4" s="1"/>
  <c r="R21" i="4" s="1"/>
  <c r="AO22" i="9"/>
  <c r="Q25" i="4" s="1"/>
  <c r="R25" i="4" s="1"/>
  <c r="AO26" i="9"/>
  <c r="Q29" i="4" s="1"/>
  <c r="R29" i="4" s="1"/>
  <c r="AO30" i="9"/>
  <c r="Q33" i="4" s="1"/>
  <c r="R33" i="4" s="1"/>
  <c r="AO7" i="9"/>
  <c r="AO9" i="9"/>
  <c r="Q12" i="4" s="1"/>
  <c r="R12" i="4" s="1"/>
  <c r="AO12" i="9"/>
  <c r="Q15" i="4" s="1"/>
  <c r="R15" i="4" s="1"/>
  <c r="AO15" i="9"/>
  <c r="Q18" i="4" s="1"/>
  <c r="R18" i="4" s="1"/>
  <c r="AO17" i="9"/>
  <c r="Q20" i="4" s="1"/>
  <c r="R20" i="4" s="1"/>
  <c r="AO21" i="9"/>
  <c r="Q24" i="4" s="1"/>
  <c r="R24" i="4" s="1"/>
  <c r="AO25" i="9"/>
  <c r="Q28" i="4" s="1"/>
  <c r="R28" i="4" s="1"/>
  <c r="AO29" i="9"/>
  <c r="Q32" i="4" s="1"/>
  <c r="R32" i="4" s="1"/>
  <c r="AO14" i="9"/>
  <c r="Q17" i="4" s="1"/>
  <c r="R17" i="4" s="1"/>
  <c r="AO19" i="9"/>
  <c r="Q22" i="4" s="1"/>
  <c r="R22" i="4" s="1"/>
  <c r="AO27" i="9"/>
  <c r="Q30" i="4" s="1"/>
  <c r="R30" i="4" s="1"/>
  <c r="AO8" i="9"/>
  <c r="Q11" i="4" s="1"/>
  <c r="R11" i="4" s="1"/>
  <c r="AO20" i="9"/>
  <c r="Q23" i="4" s="1"/>
  <c r="R23" i="4" s="1"/>
  <c r="AO24" i="9"/>
  <c r="Q27" i="4" s="1"/>
  <c r="R27" i="4" s="1"/>
  <c r="AO28" i="9"/>
  <c r="Q31" i="4" s="1"/>
  <c r="R31" i="4" s="1"/>
  <c r="AO11" i="9"/>
  <c r="Q14" i="4" s="1"/>
  <c r="R14" i="4" s="1"/>
  <c r="AO23" i="9"/>
  <c r="Q26" i="4" s="1"/>
  <c r="R26" i="4" s="1"/>
  <c r="AI8" i="9"/>
  <c r="E11" i="4" s="1"/>
  <c r="AI20" i="9"/>
  <c r="E23" i="4" s="1"/>
  <c r="AI24" i="9"/>
  <c r="E27" i="4" s="1"/>
  <c r="AI28" i="9"/>
  <c r="E31" i="4" s="1"/>
  <c r="AI11" i="9"/>
  <c r="E14" i="4" s="1"/>
  <c r="AI14" i="9"/>
  <c r="E17" i="4" s="1"/>
  <c r="AI19" i="9"/>
  <c r="E22" i="4" s="1"/>
  <c r="AI23" i="9"/>
  <c r="E26" i="4" s="1"/>
  <c r="AI27" i="9"/>
  <c r="E30" i="4" s="1"/>
  <c r="AI17" i="9"/>
  <c r="E20" i="4" s="1"/>
  <c r="AI25" i="9"/>
  <c r="E28" i="4" s="1"/>
  <c r="AI10" i="9"/>
  <c r="E13" i="4" s="1"/>
  <c r="F13" i="4" s="1"/>
  <c r="AI13" i="9"/>
  <c r="E16" i="4" s="1"/>
  <c r="AI16" i="9"/>
  <c r="E19" i="4" s="1"/>
  <c r="F19" i="4" s="1"/>
  <c r="AI18" i="9"/>
  <c r="E21" i="4" s="1"/>
  <c r="F21" i="4" s="1"/>
  <c r="AI22" i="9"/>
  <c r="E25" i="4" s="1"/>
  <c r="AI26" i="9"/>
  <c r="E29" i="4" s="1"/>
  <c r="AI30" i="9"/>
  <c r="E33" i="4" s="1"/>
  <c r="AI9" i="9"/>
  <c r="E12" i="4" s="1"/>
  <c r="AI12" i="9"/>
  <c r="E15" i="4" s="1"/>
  <c r="AI15" i="9"/>
  <c r="E18" i="4" s="1"/>
  <c r="AI21" i="9"/>
  <c r="E24" i="4" s="1"/>
  <c r="AI29" i="9"/>
  <c r="E32" i="4" s="1"/>
  <c r="AI7" i="9"/>
  <c r="E10" i="4" s="1"/>
  <c r="F10" i="4" s="1"/>
  <c r="AH31" i="14"/>
  <c r="AL31" i="6"/>
  <c r="AK31" i="8"/>
  <c r="AJ8" i="9"/>
  <c r="G11" i="4" s="1"/>
  <c r="H11" i="4" s="1"/>
  <c r="AJ20" i="9"/>
  <c r="G23" i="4" s="1"/>
  <c r="H23" i="4" s="1"/>
  <c r="AJ24" i="9"/>
  <c r="G27" i="4" s="1"/>
  <c r="H27" i="4" s="1"/>
  <c r="AJ28" i="9"/>
  <c r="G31" i="4" s="1"/>
  <c r="H31" i="4" s="1"/>
  <c r="AJ14" i="9"/>
  <c r="G17" i="4" s="1"/>
  <c r="H17" i="4" s="1"/>
  <c r="AJ23" i="9"/>
  <c r="G26" i="4" s="1"/>
  <c r="H26" i="4" s="1"/>
  <c r="AJ11" i="9"/>
  <c r="G14" i="4" s="1"/>
  <c r="H14" i="4" s="1"/>
  <c r="AJ19" i="9"/>
  <c r="G22" i="4" s="1"/>
  <c r="H22" i="4" s="1"/>
  <c r="AJ27" i="9"/>
  <c r="G30" i="4" s="1"/>
  <c r="H30" i="4" s="1"/>
  <c r="AJ7" i="9"/>
  <c r="AJ9" i="9"/>
  <c r="G12" i="4" s="1"/>
  <c r="H12" i="4" s="1"/>
  <c r="AJ21" i="9"/>
  <c r="G24" i="4" s="1"/>
  <c r="H24" i="4" s="1"/>
  <c r="AJ10" i="9"/>
  <c r="G13" i="4" s="1"/>
  <c r="H13" i="4" s="1"/>
  <c r="AJ13" i="9"/>
  <c r="G16" i="4" s="1"/>
  <c r="H16" i="4" s="1"/>
  <c r="AJ18" i="9"/>
  <c r="G21" i="4" s="1"/>
  <c r="H21" i="4" s="1"/>
  <c r="AJ26" i="9"/>
  <c r="G29" i="4" s="1"/>
  <c r="H29" i="4" s="1"/>
  <c r="AJ12" i="9"/>
  <c r="G15" i="4" s="1"/>
  <c r="H15" i="4" s="1"/>
  <c r="AJ15" i="9"/>
  <c r="G18" i="4" s="1"/>
  <c r="H18" i="4" s="1"/>
  <c r="AJ17" i="9"/>
  <c r="G20" i="4" s="1"/>
  <c r="H20" i="4" s="1"/>
  <c r="AJ16" i="9"/>
  <c r="G19" i="4" s="1"/>
  <c r="H19" i="4" s="1"/>
  <c r="AJ22" i="9"/>
  <c r="G25" i="4" s="1"/>
  <c r="H25" i="4" s="1"/>
  <c r="AJ30" i="9"/>
  <c r="G33" i="4" s="1"/>
  <c r="H33" i="4" s="1"/>
  <c r="AJ29" i="9"/>
  <c r="AJ25" i="9"/>
  <c r="G28" i="4" s="1"/>
  <c r="H28" i="4" s="1"/>
  <c r="AK31" i="1"/>
  <c r="AO31" i="6"/>
  <c r="AO31" i="8"/>
  <c r="AI31" i="8"/>
  <c r="AL31" i="8"/>
  <c r="AH31" i="8"/>
  <c r="AI31" i="7"/>
  <c r="AH31" i="7"/>
  <c r="AK31" i="7"/>
  <c r="AO31" i="7"/>
  <c r="AH31" i="6"/>
  <c r="AI31" i="6"/>
  <c r="AJ31" i="6"/>
  <c r="AK31" i="6"/>
  <c r="AO31" i="5"/>
  <c r="AK31" i="5"/>
  <c r="AI31" i="1"/>
  <c r="AL31" i="1"/>
  <c r="AH31" i="1"/>
  <c r="AO31" i="1"/>
  <c r="AO31" i="15"/>
  <c r="AI31" i="15"/>
  <c r="AH31" i="15"/>
  <c r="AL31" i="15"/>
  <c r="AO31" i="14"/>
  <c r="AI31" i="14"/>
  <c r="AK31" i="14"/>
  <c r="AH31" i="13"/>
  <c r="AO31" i="13"/>
  <c r="AO31" i="12"/>
  <c r="AI31" i="12"/>
  <c r="AL31" i="12"/>
  <c r="AK31" i="11"/>
  <c r="AH31" i="11"/>
  <c r="AL31" i="11"/>
  <c r="AO31" i="11"/>
  <c r="AI31" i="11"/>
  <c r="AJ31" i="11"/>
  <c r="AJ28" i="10"/>
  <c r="AL28" i="10"/>
  <c r="AH28" i="10"/>
  <c r="AO28" i="10"/>
  <c r="AI28" i="10"/>
  <c r="AK28" i="10"/>
  <c r="L27" i="4" l="1"/>
  <c r="O35" i="4"/>
  <c r="M35" i="4"/>
  <c r="L19" i="4"/>
  <c r="L31" i="4"/>
  <c r="L33" i="4"/>
  <c r="L15" i="4"/>
  <c r="L21" i="4"/>
  <c r="J23" i="4"/>
  <c r="J27" i="4"/>
  <c r="J19" i="4"/>
  <c r="J28" i="4"/>
  <c r="J31" i="4"/>
  <c r="J32" i="4"/>
  <c r="L23" i="4"/>
  <c r="L32" i="4"/>
  <c r="L30" i="4"/>
  <c r="L28" i="4"/>
  <c r="L26" i="4"/>
  <c r="L24" i="4"/>
  <c r="L22" i="4"/>
  <c r="L20" i="4"/>
  <c r="L18" i="4"/>
  <c r="L16" i="4"/>
  <c r="L14" i="4"/>
  <c r="J24" i="4"/>
  <c r="J20" i="4"/>
  <c r="L13" i="4"/>
  <c r="J15" i="4"/>
  <c r="J30" i="4"/>
  <c r="J26" i="4"/>
  <c r="J22" i="4"/>
  <c r="L17" i="4"/>
  <c r="AK32" i="9"/>
  <c r="AL32" i="9"/>
  <c r="K29" i="4" s="1"/>
  <c r="L29" i="4" s="1"/>
  <c r="J13" i="4"/>
  <c r="J16" i="4"/>
  <c r="L11" i="4"/>
  <c r="L12" i="4"/>
  <c r="J12" i="4"/>
  <c r="J18" i="4"/>
  <c r="J29" i="4"/>
  <c r="J21" i="4"/>
  <c r="J17" i="4"/>
  <c r="J33" i="4"/>
  <c r="J25" i="4"/>
  <c r="J11" i="4"/>
  <c r="J14" i="4"/>
  <c r="K10" i="4"/>
  <c r="L10" i="4" s="1"/>
  <c r="K35" i="4" l="1"/>
  <c r="I35" i="4"/>
  <c r="F33" i="4"/>
  <c r="S33" i="4" l="1"/>
  <c r="D6" i="5"/>
  <c r="G10" i="4" l="1"/>
  <c r="H10" i="4" s="1"/>
  <c r="F11" i="4"/>
  <c r="F12" i="4"/>
  <c r="F14" i="4"/>
  <c r="AH32" i="9"/>
  <c r="AI32" i="9"/>
  <c r="AJ32" i="9"/>
  <c r="G32" i="4" s="1"/>
  <c r="H32" i="4" s="1"/>
  <c r="AO32" i="9"/>
  <c r="D6" i="6"/>
  <c r="E6" i="6" s="1"/>
  <c r="D6" i="7"/>
  <c r="D5" i="7" s="1"/>
  <c r="D5" i="5"/>
  <c r="E6" i="5"/>
  <c r="C5" i="5"/>
  <c r="F15" i="4"/>
  <c r="F16" i="4"/>
  <c r="F17" i="4"/>
  <c r="F18" i="4"/>
  <c r="F20" i="4"/>
  <c r="F22" i="4"/>
  <c r="F23" i="4"/>
  <c r="F24" i="4"/>
  <c r="F25" i="4"/>
  <c r="F26" i="4"/>
  <c r="F27" i="4"/>
  <c r="F28" i="4"/>
  <c r="F29" i="4"/>
  <c r="F30" i="4"/>
  <c r="F31" i="4"/>
  <c r="F32" i="4"/>
  <c r="Q10" i="4"/>
  <c r="R10" i="4" s="1"/>
  <c r="S26" i="4" l="1"/>
  <c r="S22" i="4"/>
  <c r="S18" i="4"/>
  <c r="S12" i="4"/>
  <c r="S31" i="4"/>
  <c r="S27" i="4"/>
  <c r="S23" i="4"/>
  <c r="S19" i="4"/>
  <c r="S15" i="4"/>
  <c r="S13" i="4"/>
  <c r="S32" i="4"/>
  <c r="S28" i="4"/>
  <c r="S24" i="4"/>
  <c r="S20" i="4"/>
  <c r="S16" i="4"/>
  <c r="S11" i="4"/>
  <c r="G35" i="4"/>
  <c r="S30" i="4"/>
  <c r="E35" i="4"/>
  <c r="S10" i="4"/>
  <c r="Q35" i="4"/>
  <c r="S29" i="4"/>
  <c r="S25" i="4"/>
  <c r="S21" i="4"/>
  <c r="S17" i="4"/>
  <c r="S14" i="4"/>
  <c r="D6" i="8"/>
  <c r="D5" i="8" s="1"/>
  <c r="D6" i="13"/>
  <c r="E6" i="13" s="1"/>
  <c r="D6" i="12"/>
  <c r="E6" i="12" s="1"/>
  <c r="C35" i="4"/>
  <c r="D5" i="6"/>
  <c r="D6" i="14"/>
  <c r="D5" i="14" s="1"/>
  <c r="C5" i="7"/>
  <c r="E6" i="7"/>
  <c r="E5" i="7" s="1"/>
  <c r="C5" i="6"/>
  <c r="F6" i="6"/>
  <c r="E5" i="6"/>
  <c r="F6" i="5"/>
  <c r="E5" i="5"/>
  <c r="D6" i="1"/>
  <c r="D5" i="1" s="1"/>
  <c r="C5" i="1"/>
  <c r="S35" i="4" l="1"/>
  <c r="C5" i="8"/>
  <c r="E6" i="8"/>
  <c r="E5" i="8" s="1"/>
  <c r="D6" i="15"/>
  <c r="C5" i="15"/>
  <c r="E6" i="14"/>
  <c r="F6" i="14" s="1"/>
  <c r="C5" i="14"/>
  <c r="D5" i="12"/>
  <c r="F6" i="7"/>
  <c r="F5" i="7" s="1"/>
  <c r="C5" i="12"/>
  <c r="D6" i="11"/>
  <c r="C5" i="11"/>
  <c r="D5" i="13"/>
  <c r="C5" i="10"/>
  <c r="D6" i="10"/>
  <c r="C5" i="13"/>
  <c r="D6" i="9"/>
  <c r="C5" i="9"/>
  <c r="F6" i="13"/>
  <c r="E5" i="13"/>
  <c r="F6" i="12"/>
  <c r="E5" i="12"/>
  <c r="G6" i="6"/>
  <c r="F5" i="6"/>
  <c r="F5" i="5"/>
  <c r="G6" i="5"/>
  <c r="E6" i="1"/>
  <c r="E5" i="1" s="1"/>
  <c r="F6" i="8" l="1"/>
  <c r="D5" i="15"/>
  <c r="E6" i="15"/>
  <c r="E5" i="14"/>
  <c r="G6" i="7"/>
  <c r="H6" i="7" s="1"/>
  <c r="E6" i="11"/>
  <c r="D5" i="11"/>
  <c r="E6" i="10"/>
  <c r="D5" i="10"/>
  <c r="E6" i="9"/>
  <c r="D5" i="9"/>
  <c r="G6" i="14"/>
  <c r="F5" i="14"/>
  <c r="G6" i="13"/>
  <c r="F5" i="13"/>
  <c r="G6" i="12"/>
  <c r="F5" i="12"/>
  <c r="H6" i="6"/>
  <c r="G5" i="6"/>
  <c r="H6" i="5"/>
  <c r="G5" i="5"/>
  <c r="F6" i="1"/>
  <c r="F5" i="1" s="1"/>
  <c r="F5" i="8" l="1"/>
  <c r="G6" i="8"/>
  <c r="G5" i="7"/>
  <c r="E5" i="15"/>
  <c r="F6" i="15"/>
  <c r="F6" i="11"/>
  <c r="E5" i="11"/>
  <c r="F6" i="10"/>
  <c r="E5" i="10"/>
  <c r="F6" i="9"/>
  <c r="E5" i="9"/>
  <c r="H6" i="14"/>
  <c r="G5" i="14"/>
  <c r="H6" i="13"/>
  <c r="G5" i="13"/>
  <c r="H6" i="12"/>
  <c r="G5" i="12"/>
  <c r="H5" i="7"/>
  <c r="I6" i="7"/>
  <c r="I6" i="6"/>
  <c r="H5" i="6"/>
  <c r="I6" i="5"/>
  <c r="H5" i="5"/>
  <c r="G6" i="1"/>
  <c r="G5" i="1" s="1"/>
  <c r="H6" i="8" l="1"/>
  <c r="G5" i="8"/>
  <c r="F5" i="15"/>
  <c r="G6" i="15"/>
  <c r="G6" i="11"/>
  <c r="F5" i="11"/>
  <c r="G6" i="10"/>
  <c r="F5" i="10"/>
  <c r="G6" i="9"/>
  <c r="F5" i="9"/>
  <c r="I6" i="14"/>
  <c r="H5" i="14"/>
  <c r="I6" i="13"/>
  <c r="H5" i="13"/>
  <c r="I6" i="12"/>
  <c r="H5" i="12"/>
  <c r="J6" i="7"/>
  <c r="I5" i="7"/>
  <c r="J6" i="6"/>
  <c r="I5" i="6"/>
  <c r="I5" i="5"/>
  <c r="J6" i="5"/>
  <c r="H6" i="1"/>
  <c r="H5" i="1" s="1"/>
  <c r="H5" i="8" l="1"/>
  <c r="I6" i="8"/>
  <c r="H6" i="15"/>
  <c r="G5" i="15"/>
  <c r="H6" i="11"/>
  <c r="G5" i="11"/>
  <c r="H6" i="10"/>
  <c r="G5" i="10"/>
  <c r="H6" i="9"/>
  <c r="G5" i="9"/>
  <c r="J6" i="14"/>
  <c r="I5" i="14"/>
  <c r="J6" i="13"/>
  <c r="I5" i="13"/>
  <c r="J6" i="12"/>
  <c r="I5" i="12"/>
  <c r="J5" i="7"/>
  <c r="K6" i="7"/>
  <c r="K6" i="6"/>
  <c r="J5" i="6"/>
  <c r="K6" i="5"/>
  <c r="J5" i="5"/>
  <c r="I6" i="1"/>
  <c r="I5" i="1" s="1"/>
  <c r="J6" i="8" l="1"/>
  <c r="I5" i="8"/>
  <c r="H5" i="15"/>
  <c r="I6" i="15"/>
  <c r="I6" i="11"/>
  <c r="H5" i="11"/>
  <c r="I6" i="10"/>
  <c r="H5" i="10"/>
  <c r="I6" i="9"/>
  <c r="H5" i="9"/>
  <c r="K6" i="14"/>
  <c r="J5" i="14"/>
  <c r="K6" i="13"/>
  <c r="J5" i="13"/>
  <c r="K6" i="12"/>
  <c r="J5" i="12"/>
  <c r="L6" i="7"/>
  <c r="K5" i="7"/>
  <c r="L6" i="6"/>
  <c r="K5" i="6"/>
  <c r="L6" i="5"/>
  <c r="K5" i="5"/>
  <c r="J6" i="1"/>
  <c r="J5" i="1" s="1"/>
  <c r="K6" i="8" l="1"/>
  <c r="J5" i="8"/>
  <c r="J6" i="15"/>
  <c r="I5" i="15"/>
  <c r="J6" i="11"/>
  <c r="I5" i="11"/>
  <c r="J6" i="10"/>
  <c r="I5" i="10"/>
  <c r="J6" i="9"/>
  <c r="I5" i="9"/>
  <c r="L6" i="14"/>
  <c r="K5" i="14"/>
  <c r="L6" i="13"/>
  <c r="K5" i="13"/>
  <c r="L6" i="12"/>
  <c r="K5" i="12"/>
  <c r="M6" i="7"/>
  <c r="L5" i="7"/>
  <c r="M6" i="6"/>
  <c r="L5" i="6"/>
  <c r="M6" i="5"/>
  <c r="L5" i="5"/>
  <c r="K6" i="1"/>
  <c r="K5" i="1" s="1"/>
  <c r="L6" i="8" l="1"/>
  <c r="K5" i="8"/>
  <c r="K6" i="15"/>
  <c r="J5" i="15"/>
  <c r="K6" i="11"/>
  <c r="J5" i="11"/>
  <c r="K6" i="10"/>
  <c r="J5" i="10"/>
  <c r="K6" i="9"/>
  <c r="J5" i="9"/>
  <c r="M6" i="14"/>
  <c r="L5" i="14"/>
  <c r="M6" i="13"/>
  <c r="L5" i="13"/>
  <c r="M6" i="12"/>
  <c r="L5" i="12"/>
  <c r="N6" i="7"/>
  <c r="M5" i="7"/>
  <c r="N6" i="6"/>
  <c r="M5" i="6"/>
  <c r="N6" i="5"/>
  <c r="M5" i="5"/>
  <c r="L6" i="1"/>
  <c r="L5" i="1" s="1"/>
  <c r="M6" i="8" l="1"/>
  <c r="L5" i="8"/>
  <c r="L6" i="15"/>
  <c r="K5" i="15"/>
  <c r="L6" i="11"/>
  <c r="K5" i="11"/>
  <c r="L6" i="10"/>
  <c r="K5" i="10"/>
  <c r="L6" i="9"/>
  <c r="K5" i="9"/>
  <c r="N6" i="14"/>
  <c r="M5" i="14"/>
  <c r="N6" i="13"/>
  <c r="M5" i="13"/>
  <c r="N6" i="12"/>
  <c r="M5" i="12"/>
  <c r="N5" i="7"/>
  <c r="O6" i="7"/>
  <c r="O6" i="6"/>
  <c r="N5" i="6"/>
  <c r="N5" i="5"/>
  <c r="O6" i="5"/>
  <c r="M6" i="1"/>
  <c r="M5" i="1" s="1"/>
  <c r="N6" i="8" l="1"/>
  <c r="M5" i="8"/>
  <c r="L5" i="15"/>
  <c r="M6" i="15"/>
  <c r="M6" i="11"/>
  <c r="L5" i="11"/>
  <c r="M6" i="10"/>
  <c r="L5" i="10"/>
  <c r="M6" i="9"/>
  <c r="L5" i="9"/>
  <c r="O6" i="14"/>
  <c r="N5" i="14"/>
  <c r="O6" i="13"/>
  <c r="N5" i="13"/>
  <c r="O6" i="12"/>
  <c r="N5" i="12"/>
  <c r="P6" i="7"/>
  <c r="O5" i="7"/>
  <c r="P6" i="6"/>
  <c r="O5" i="6"/>
  <c r="P6" i="5"/>
  <c r="O5" i="5"/>
  <c r="N6" i="1"/>
  <c r="N5" i="1" s="1"/>
  <c r="O6" i="8" l="1"/>
  <c r="N5" i="8"/>
  <c r="N6" i="15"/>
  <c r="M5" i="15"/>
  <c r="N6" i="11"/>
  <c r="M5" i="11"/>
  <c r="N6" i="10"/>
  <c r="M5" i="10"/>
  <c r="N6" i="9"/>
  <c r="M5" i="9"/>
  <c r="P6" i="14"/>
  <c r="O5" i="14"/>
  <c r="P6" i="13"/>
  <c r="O5" i="13"/>
  <c r="P6" i="12"/>
  <c r="O5" i="12"/>
  <c r="Q6" i="7"/>
  <c r="P5" i="7"/>
  <c r="P5" i="6"/>
  <c r="Q6" i="6"/>
  <c r="Q6" i="5"/>
  <c r="P5" i="5"/>
  <c r="O6" i="1"/>
  <c r="O5" i="1" s="1"/>
  <c r="P6" i="8" l="1"/>
  <c r="O5" i="8"/>
  <c r="O6" i="15"/>
  <c r="N5" i="15"/>
  <c r="O6" i="11"/>
  <c r="N5" i="11"/>
  <c r="O6" i="10"/>
  <c r="N5" i="10"/>
  <c r="O6" i="9"/>
  <c r="N5" i="9"/>
  <c r="Q6" i="14"/>
  <c r="P5" i="14"/>
  <c r="Q6" i="13"/>
  <c r="P5" i="13"/>
  <c r="Q6" i="12"/>
  <c r="P5" i="12"/>
  <c r="R6" i="7"/>
  <c r="Q5" i="7"/>
  <c r="R6" i="6"/>
  <c r="Q5" i="6"/>
  <c r="R6" i="5"/>
  <c r="Q5" i="5"/>
  <c r="P6" i="1"/>
  <c r="P5" i="1" s="1"/>
  <c r="Q6" i="8" l="1"/>
  <c r="P5" i="8"/>
  <c r="P6" i="15"/>
  <c r="O5" i="15"/>
  <c r="P6" i="11"/>
  <c r="O5" i="11"/>
  <c r="P6" i="10"/>
  <c r="O5" i="10"/>
  <c r="P6" i="9"/>
  <c r="O5" i="9"/>
  <c r="R6" i="14"/>
  <c r="Q5" i="14"/>
  <c r="R6" i="13"/>
  <c r="Q5" i="13"/>
  <c r="R6" i="12"/>
  <c r="Q5" i="12"/>
  <c r="R5" i="7"/>
  <c r="S6" i="7"/>
  <c r="S6" i="6"/>
  <c r="R5" i="6"/>
  <c r="R5" i="5"/>
  <c r="S6" i="5"/>
  <c r="Q6" i="1"/>
  <c r="Q5" i="1" s="1"/>
  <c r="R6" i="8" l="1"/>
  <c r="Q5" i="8"/>
  <c r="Q6" i="15"/>
  <c r="P5" i="15"/>
  <c r="Q6" i="11"/>
  <c r="P5" i="11"/>
  <c r="Q6" i="10"/>
  <c r="P5" i="10"/>
  <c r="Q6" i="9"/>
  <c r="P5" i="9"/>
  <c r="S6" i="14"/>
  <c r="R5" i="14"/>
  <c r="S6" i="13"/>
  <c r="R5" i="13"/>
  <c r="S6" i="12"/>
  <c r="R5" i="12"/>
  <c r="T6" i="7"/>
  <c r="S5" i="7"/>
  <c r="T6" i="6"/>
  <c r="S5" i="6"/>
  <c r="T6" i="5"/>
  <c r="S5" i="5"/>
  <c r="R6" i="1"/>
  <c r="R5" i="1" s="1"/>
  <c r="S6" i="8" l="1"/>
  <c r="R5" i="8"/>
  <c r="R6" i="15"/>
  <c r="Q5" i="15"/>
  <c r="R6" i="11"/>
  <c r="Q5" i="11"/>
  <c r="R6" i="10"/>
  <c r="Q5" i="10"/>
  <c r="R6" i="9"/>
  <c r="Q5" i="9"/>
  <c r="T6" i="14"/>
  <c r="S5" i="14"/>
  <c r="T6" i="13"/>
  <c r="S5" i="13"/>
  <c r="T6" i="12"/>
  <c r="S5" i="12"/>
  <c r="U6" i="7"/>
  <c r="T5" i="7"/>
  <c r="U6" i="6"/>
  <c r="T5" i="6"/>
  <c r="U6" i="5"/>
  <c r="T5" i="5"/>
  <c r="S6" i="1"/>
  <c r="S5" i="1" s="1"/>
  <c r="T6" i="8" l="1"/>
  <c r="S5" i="8"/>
  <c r="S6" i="15"/>
  <c r="R5" i="15"/>
  <c r="S6" i="11"/>
  <c r="R5" i="11"/>
  <c r="S6" i="10"/>
  <c r="R5" i="10"/>
  <c r="S6" i="9"/>
  <c r="R5" i="9"/>
  <c r="U6" i="14"/>
  <c r="T5" i="14"/>
  <c r="U6" i="13"/>
  <c r="T5" i="13"/>
  <c r="U6" i="12"/>
  <c r="T5" i="12"/>
  <c r="V6" i="7"/>
  <c r="U5" i="7"/>
  <c r="V6" i="6"/>
  <c r="U5" i="6"/>
  <c r="V6" i="5"/>
  <c r="U5" i="5"/>
  <c r="T6" i="1"/>
  <c r="T5" i="1" s="1"/>
  <c r="U6" i="8" l="1"/>
  <c r="T5" i="8"/>
  <c r="T6" i="15"/>
  <c r="S5" i="15"/>
  <c r="T6" i="11"/>
  <c r="S5" i="11"/>
  <c r="T6" i="10"/>
  <c r="S5" i="10"/>
  <c r="T6" i="9"/>
  <c r="S5" i="9"/>
  <c r="V6" i="14"/>
  <c r="U5" i="14"/>
  <c r="V6" i="13"/>
  <c r="U5" i="13"/>
  <c r="V6" i="12"/>
  <c r="U5" i="12"/>
  <c r="V5" i="7"/>
  <c r="W6" i="7"/>
  <c r="W6" i="6"/>
  <c r="V5" i="6"/>
  <c r="V5" i="5"/>
  <c r="W6" i="5"/>
  <c r="U6" i="1"/>
  <c r="U5" i="1" s="1"/>
  <c r="V6" i="8" l="1"/>
  <c r="U5" i="8"/>
  <c r="U6" i="15"/>
  <c r="T5" i="15"/>
  <c r="U6" i="11"/>
  <c r="T5" i="11"/>
  <c r="U6" i="10"/>
  <c r="T5" i="10"/>
  <c r="U6" i="9"/>
  <c r="T5" i="9"/>
  <c r="W6" i="14"/>
  <c r="V5" i="14"/>
  <c r="W6" i="13"/>
  <c r="V5" i="13"/>
  <c r="W6" i="12"/>
  <c r="V5" i="12"/>
  <c r="X6" i="7"/>
  <c r="W5" i="7"/>
  <c r="X6" i="6"/>
  <c r="W5" i="6"/>
  <c r="X6" i="5"/>
  <c r="W5" i="5"/>
  <c r="V6" i="1"/>
  <c r="V5" i="1" s="1"/>
  <c r="W6" i="8" l="1"/>
  <c r="V5" i="8"/>
  <c r="V6" i="15"/>
  <c r="U5" i="15"/>
  <c r="V6" i="11"/>
  <c r="U5" i="11"/>
  <c r="V6" i="10"/>
  <c r="U5" i="10"/>
  <c r="V6" i="9"/>
  <c r="U5" i="9"/>
  <c r="X6" i="14"/>
  <c r="W5" i="14"/>
  <c r="X6" i="13"/>
  <c r="W5" i="13"/>
  <c r="X6" i="12"/>
  <c r="W5" i="12"/>
  <c r="Y6" i="7"/>
  <c r="X5" i="7"/>
  <c r="Y6" i="6"/>
  <c r="X5" i="6"/>
  <c r="Y6" i="5"/>
  <c r="X5" i="5"/>
  <c r="W6" i="1"/>
  <c r="W5" i="1" s="1"/>
  <c r="W5" i="8" l="1"/>
  <c r="X6" i="8"/>
  <c r="W6" i="15"/>
  <c r="V5" i="15"/>
  <c r="W6" i="11"/>
  <c r="V5" i="11"/>
  <c r="W6" i="10"/>
  <c r="V5" i="10"/>
  <c r="W6" i="9"/>
  <c r="V5" i="9"/>
  <c r="Y6" i="14"/>
  <c r="X5" i="14"/>
  <c r="Y6" i="13"/>
  <c r="X5" i="13"/>
  <c r="Y6" i="12"/>
  <c r="X5" i="12"/>
  <c r="Z6" i="7"/>
  <c r="Y5" i="7"/>
  <c r="Z6" i="6"/>
  <c r="Y5" i="6"/>
  <c r="Z6" i="5"/>
  <c r="Y5" i="5"/>
  <c r="X6" i="1"/>
  <c r="X5" i="1" s="1"/>
  <c r="X5" i="8" l="1"/>
  <c r="Y6" i="8"/>
  <c r="X6" i="15"/>
  <c r="W5" i="15"/>
  <c r="X6" i="11"/>
  <c r="W5" i="11"/>
  <c r="X6" i="10"/>
  <c r="W5" i="10"/>
  <c r="X6" i="9"/>
  <c r="W5" i="9"/>
  <c r="Z6" i="14"/>
  <c r="Y5" i="14"/>
  <c r="Z6" i="13"/>
  <c r="Y5" i="13"/>
  <c r="Z6" i="12"/>
  <c r="Y5" i="12"/>
  <c r="Z5" i="7"/>
  <c r="AA6" i="7"/>
  <c r="AA6" i="6"/>
  <c r="Z5" i="6"/>
  <c r="Z5" i="5"/>
  <c r="AA6" i="5"/>
  <c r="Y6" i="1"/>
  <c r="Y5" i="1" s="1"/>
  <c r="Y5" i="8" l="1"/>
  <c r="Z6" i="8"/>
  <c r="Y6" i="15"/>
  <c r="X5" i="15"/>
  <c r="Y6" i="11"/>
  <c r="X5" i="11"/>
  <c r="Y6" i="10"/>
  <c r="X5" i="10"/>
  <c r="Y6" i="9"/>
  <c r="X5" i="9"/>
  <c r="AA6" i="14"/>
  <c r="Z5" i="14"/>
  <c r="AA6" i="13"/>
  <c r="Z5" i="13"/>
  <c r="AA6" i="12"/>
  <c r="Z5" i="12"/>
  <c r="AB6" i="7"/>
  <c r="AA5" i="7"/>
  <c r="AB6" i="6"/>
  <c r="AA5" i="6"/>
  <c r="AB6" i="5"/>
  <c r="AA5" i="5"/>
  <c r="Z6" i="1"/>
  <c r="Z5" i="1" s="1"/>
  <c r="Z5" i="8" l="1"/>
  <c r="AA6" i="8"/>
  <c r="Z6" i="15"/>
  <c r="Y5" i="15"/>
  <c r="Z6" i="11"/>
  <c r="Y5" i="11"/>
  <c r="Z6" i="10"/>
  <c r="Y5" i="10"/>
  <c r="Z6" i="9"/>
  <c r="Y5" i="9"/>
  <c r="AB6" i="14"/>
  <c r="AA5" i="14"/>
  <c r="AB6" i="13"/>
  <c r="AA5" i="13"/>
  <c r="AB6" i="12"/>
  <c r="AA5" i="12"/>
  <c r="AB5" i="7"/>
  <c r="AC6" i="7"/>
  <c r="AC6" i="6"/>
  <c r="AB5" i="6"/>
  <c r="AB5" i="5"/>
  <c r="AC6" i="5"/>
  <c r="AA6" i="1"/>
  <c r="AA5" i="1" s="1"/>
  <c r="AB6" i="8" l="1"/>
  <c r="AA5" i="8"/>
  <c r="AA6" i="15"/>
  <c r="Z5" i="15"/>
  <c r="AA6" i="11"/>
  <c r="Z5" i="11"/>
  <c r="AA6" i="10"/>
  <c r="Z5" i="10"/>
  <c r="AA6" i="9"/>
  <c r="Z5" i="9"/>
  <c r="AC6" i="14"/>
  <c r="AB5" i="14"/>
  <c r="AC6" i="13"/>
  <c r="AB5" i="13"/>
  <c r="AC6" i="12"/>
  <c r="AB5" i="12"/>
  <c r="AD6" i="7"/>
  <c r="AC5" i="7"/>
  <c r="AD6" i="6"/>
  <c r="AC5" i="6"/>
  <c r="AD6" i="5"/>
  <c r="AC5" i="5"/>
  <c r="AB6" i="1"/>
  <c r="AB5" i="1" s="1"/>
  <c r="AB5" i="8" l="1"/>
  <c r="AC6" i="8"/>
  <c r="AB6" i="15"/>
  <c r="AA5" i="15"/>
  <c r="AB6" i="11"/>
  <c r="AA5" i="11"/>
  <c r="AB6" i="10"/>
  <c r="AA5" i="10"/>
  <c r="AB6" i="9"/>
  <c r="AA5" i="9"/>
  <c r="AD6" i="14"/>
  <c r="AC5" i="14"/>
  <c r="AD6" i="13"/>
  <c r="AC5" i="13"/>
  <c r="AD6" i="12"/>
  <c r="AC5" i="12"/>
  <c r="AG6" i="7"/>
  <c r="AG5" i="7" s="1"/>
  <c r="AF6" i="7"/>
  <c r="AF5" i="7" s="1"/>
  <c r="AD5" i="7"/>
  <c r="AE6" i="7"/>
  <c r="AE5" i="7" s="1"/>
  <c r="AG6" i="6"/>
  <c r="AG5" i="6" s="1"/>
  <c r="AF6" i="6"/>
  <c r="AF5" i="6" s="1"/>
  <c r="AE6" i="6"/>
  <c r="AE5" i="6" s="1"/>
  <c r="AD5" i="6"/>
  <c r="AF6" i="5"/>
  <c r="AF5" i="5" s="1"/>
  <c r="AD5" i="5"/>
  <c r="AG6" i="5"/>
  <c r="AG5" i="5" s="1"/>
  <c r="AE6" i="5"/>
  <c r="AE5" i="5" s="1"/>
  <c r="AC6" i="1"/>
  <c r="AC5" i="1" s="1"/>
  <c r="AD6" i="8" l="1"/>
  <c r="AC5" i="8"/>
  <c r="AC6" i="15"/>
  <c r="AB5" i="15"/>
  <c r="AC6" i="11"/>
  <c r="AB5" i="11"/>
  <c r="AC6" i="10"/>
  <c r="AB5" i="10"/>
  <c r="AC6" i="9"/>
  <c r="AB5" i="9"/>
  <c r="AG6" i="14"/>
  <c r="AG5" i="14" s="1"/>
  <c r="AF6" i="14"/>
  <c r="AF5" i="14" s="1"/>
  <c r="AE6" i="14"/>
  <c r="AE5" i="14" s="1"/>
  <c r="AD5" i="14"/>
  <c r="AG6" i="13"/>
  <c r="AG5" i="13" s="1"/>
  <c r="AF6" i="13"/>
  <c r="AF5" i="13" s="1"/>
  <c r="AE6" i="13"/>
  <c r="AE5" i="13" s="1"/>
  <c r="AD5" i="13"/>
  <c r="AG6" i="12"/>
  <c r="AG5" i="12" s="1"/>
  <c r="AF6" i="12"/>
  <c r="AF5" i="12" s="1"/>
  <c r="AE6" i="12"/>
  <c r="AE5" i="12" s="1"/>
  <c r="AD5" i="12"/>
  <c r="AD6" i="1"/>
  <c r="AD5" i="1" s="1"/>
  <c r="AF6" i="8" l="1"/>
  <c r="AF5" i="8" s="1"/>
  <c r="AE6" i="8"/>
  <c r="AE5" i="8" s="1"/>
  <c r="AD5" i="8"/>
  <c r="AG6" i="8"/>
  <c r="AG5" i="8" s="1"/>
  <c r="AD6" i="15"/>
  <c r="AC5" i="15"/>
  <c r="AD6" i="11"/>
  <c r="AC5" i="11"/>
  <c r="AD6" i="10"/>
  <c r="AC5" i="10"/>
  <c r="AD6" i="9"/>
  <c r="AC5" i="9"/>
  <c r="AF6" i="1"/>
  <c r="AF5" i="1" s="1"/>
  <c r="AG6" i="1"/>
  <c r="AG5" i="1" s="1"/>
  <c r="AE6" i="1"/>
  <c r="AE5" i="1" s="1"/>
  <c r="AD5" i="15" l="1"/>
  <c r="AG6" i="15"/>
  <c r="AG5" i="15" s="1"/>
  <c r="AF6" i="15"/>
  <c r="AF5" i="15" s="1"/>
  <c r="AE6" i="15"/>
  <c r="AE5" i="15" s="1"/>
  <c r="AE6" i="11"/>
  <c r="AE5" i="11" s="1"/>
  <c r="AD5" i="11"/>
  <c r="AG6" i="11"/>
  <c r="AG5" i="11" s="1"/>
  <c r="AF6" i="11"/>
  <c r="AF5" i="11" s="1"/>
  <c r="AG6" i="10"/>
  <c r="AG5" i="10" s="1"/>
  <c r="AF6" i="10"/>
  <c r="AF5" i="10" s="1"/>
  <c r="AD5" i="10"/>
  <c r="AE6" i="10"/>
  <c r="AE5" i="10" s="1"/>
  <c r="AE6" i="9"/>
  <c r="AE5" i="9" s="1"/>
  <c r="AG6" i="9"/>
  <c r="AG5" i="9" s="1"/>
  <c r="AF6" i="9"/>
  <c r="AF5" i="9" s="1"/>
  <c r="AD5" i="9"/>
</calcChain>
</file>

<file path=xl/sharedStrings.xml><?xml version="1.0" encoding="utf-8"?>
<sst xmlns="http://schemas.openxmlformats.org/spreadsheetml/2006/main" count="156" uniqueCount="59">
  <si>
    <t>Employee Leave Tracker</t>
  </si>
  <si>
    <t>PERAMARE MEDICAL</t>
  </si>
  <si>
    <t>Year:</t>
  </si>
  <si>
    <t>◄ STEP 1: Update the Year</t>
  </si>
  <si>
    <t>A = Annual,  S = Sick, M = Maternity, CM = Compationate, T = Terminal leave, ST = Study, E = Examination, CA = Casual</t>
  </si>
  <si>
    <t>◄ STEP 2a: Define the Types of Leave</t>
  </si>
  <si>
    <t>Employee</t>
  </si>
  <si>
    <t>Year Totals</t>
  </si>
  <si>
    <t>ID</t>
  </si>
  <si>
    <t>Name</t>
  </si>
  <si>
    <t>A</t>
  </si>
  <si>
    <t>S</t>
  </si>
  <si>
    <t>M</t>
  </si>
  <si>
    <t>CM</t>
  </si>
  <si>
    <t>T</t>
  </si>
  <si>
    <t>ST</t>
  </si>
  <si>
    <t>E</t>
  </si>
  <si>
    <t>CA</t>
  </si>
  <si>
    <t>Total</t>
  </si>
  <si>
    <t>◄ STEP 2b: Update the Labels for the Types of Leave</t>
  </si>
  <si>
    <t>AHMAN ABDULJABBAR</t>
  </si>
  <si>
    <t>ALIYU MUSA ABUBAKAR</t>
  </si>
  <si>
    <t>◄ STEP 3: Edit the list of Employees</t>
  </si>
  <si>
    <t>GOSTA ALIYU</t>
  </si>
  <si>
    <t>IBRAHIM TUKURA RILWAN</t>
  </si>
  <si>
    <t>STEP 4: Use Monthly worksheets to Enter Leave</t>
  </si>
  <si>
    <t>HASSAN HABEEB</t>
  </si>
  <si>
    <t>SHEHU NABILA</t>
  </si>
  <si>
    <t>SULEMAN IBRAHIM</t>
  </si>
  <si>
    <t>If you need to add more names, you will need to insert</t>
  </si>
  <si>
    <t>EMMANUELA LONGJAP</t>
  </si>
  <si>
    <t>new rows ABOVE the last row in the tables (the gray row).</t>
  </si>
  <si>
    <t xml:space="preserve">OLUCHI EZE </t>
  </si>
  <si>
    <t>NURA ABDULLAHI</t>
  </si>
  <si>
    <t>VERA EGELAMBA EZINNE</t>
  </si>
  <si>
    <t>← Insert new rows ABOVE this one, then copy formulas down</t>
  </si>
  <si>
    <t>Totals</t>
  </si>
  <si>
    <t>https://www.vertex42.com/templates/employee-leave-tracker.html</t>
  </si>
  <si>
    <t>© 2020 by Vertex42.com</t>
  </si>
  <si>
    <t>© 2020 Vertex42.com</t>
  </si>
  <si>
    <t>[42]</t>
  </si>
  <si>
    <t>By Vertex42.com</t>
  </si>
  <si>
    <t>© 2020 Vertex42 LLC</t>
  </si>
  <si>
    <t>This spreadsheet, including all worksheets and associated content is a copyrighted work under the United States and other copyright laws.</t>
  </si>
  <si>
    <t>Do not submit copies or modifications of this template to any website or online template gallery.</t>
  </si>
  <si>
    <t>Please review the following license agreement to learn how you may or may not use this template. Thank you.</t>
  </si>
  <si>
    <t>License Agreement</t>
  </si>
  <si>
    <t>https://www.vertex42.com/licensing/EULA_privateuse.html</t>
  </si>
  <si>
    <t>Do not delete this worksheet</t>
  </si>
  <si>
    <t>ANNUAL</t>
  </si>
  <si>
    <t>Balance</t>
  </si>
  <si>
    <t>SICK</t>
  </si>
  <si>
    <t>MATERNITY</t>
  </si>
  <si>
    <t>COMPASSIONATE</t>
  </si>
  <si>
    <t>TERMINAL</t>
  </si>
  <si>
    <t>STUDY</t>
  </si>
  <si>
    <t>EXAMINATION</t>
  </si>
  <si>
    <t>CASUAL</t>
  </si>
  <si>
    <t>NAIMA LABARAN DABO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</si>
</sst>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d"/>
    <numFmt numFmtId="165" formatCode="0;0;&quot;-&quot;;@"/>
    <numFmt numFmtId="166" formatCode="0;\-0;&quot;-&quot;;@"/>
    <numFmt numFmtId="167" formatCode="0.0;\-0.0;&quot;-&quot;;@"/>
  </numFmts>
  <fonts count="38" x14ac:knownFonts="1"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u/>
      <sz val="12"/>
      <color indexed="12"/>
      <name val="Arial"/>
      <family val="2"/>
    </font>
    <font>
      <sz val="11"/>
      <name val="Arial"/>
      <family val="2"/>
      <scheme val="minor"/>
    </font>
    <font>
      <b/>
      <sz val="18"/>
      <color theme="0"/>
      <name val="Arial"/>
      <family val="2"/>
    </font>
    <font>
      <sz val="18"/>
      <color theme="0"/>
      <name val="Arial"/>
      <family val="2"/>
    </font>
    <font>
      <u/>
      <sz val="10"/>
      <color indexed="12"/>
      <name val="Arial"/>
      <family val="2"/>
    </font>
    <font>
      <sz val="12"/>
      <color theme="1"/>
      <name val="Arial"/>
      <family val="2"/>
    </font>
    <font>
      <b/>
      <sz val="18"/>
      <color theme="4" tint="-0.249977111117893"/>
      <name val="Arial"/>
      <family val="2"/>
      <scheme val="minor"/>
    </font>
    <font>
      <sz val="14"/>
      <name val="Arial"/>
      <family val="2"/>
      <scheme val="minor"/>
    </font>
    <font>
      <sz val="10"/>
      <name val="Arial"/>
      <family val="2"/>
      <scheme val="minor"/>
    </font>
    <font>
      <sz val="12"/>
      <name val="Arial"/>
      <family val="2"/>
      <scheme val="minor"/>
    </font>
    <font>
      <sz val="8"/>
      <name val="Arial"/>
      <family val="2"/>
      <scheme val="minor"/>
    </font>
    <font>
      <b/>
      <sz val="12"/>
      <color indexed="63"/>
      <name val="Arial"/>
      <family val="2"/>
      <scheme val="minor"/>
    </font>
    <font>
      <b/>
      <sz val="10"/>
      <color indexed="63"/>
      <name val="Arial"/>
      <family val="2"/>
      <scheme val="minor"/>
    </font>
    <font>
      <sz val="8"/>
      <color theme="1" tint="0.499984740745262"/>
      <name val="Arial"/>
      <family val="2"/>
      <scheme val="minor"/>
    </font>
    <font>
      <u/>
      <sz val="10"/>
      <color theme="1" tint="0.499984740745262"/>
      <name val="Arial"/>
      <family val="2"/>
      <scheme val="minor"/>
    </font>
    <font>
      <sz val="10"/>
      <color theme="3"/>
      <name val="Arial"/>
      <family val="2"/>
      <scheme val="minor"/>
    </font>
    <font>
      <b/>
      <sz val="10"/>
      <name val="Arial"/>
      <family val="2"/>
      <scheme val="minor"/>
    </font>
    <font>
      <b/>
      <i/>
      <sz val="10"/>
      <name val="Arial"/>
      <family val="2"/>
      <scheme val="minor"/>
    </font>
    <font>
      <sz val="10"/>
      <color indexed="9"/>
      <name val="Arial"/>
      <family val="2"/>
      <scheme val="minor"/>
    </font>
    <font>
      <b/>
      <sz val="12"/>
      <color theme="4" tint="-0.249977111117893"/>
      <name val="Arial"/>
      <family val="2"/>
      <scheme val="minor"/>
    </font>
    <font>
      <b/>
      <sz val="10"/>
      <color theme="3"/>
      <name val="Arial"/>
      <family val="2"/>
      <scheme val="minor"/>
    </font>
    <font>
      <sz val="18"/>
      <color theme="4" tint="-0.249977111117893"/>
      <name val="Arial"/>
      <family val="2"/>
      <scheme val="minor"/>
    </font>
    <font>
      <sz val="14"/>
      <color theme="4"/>
      <name val="Arial"/>
      <family val="2"/>
      <scheme val="minor"/>
    </font>
    <font>
      <b/>
      <sz val="11"/>
      <name val="Arial"/>
      <family val="2"/>
      <scheme val="minor"/>
    </font>
    <font>
      <sz val="9"/>
      <name val="Arial"/>
      <family val="2"/>
      <scheme val="minor"/>
    </font>
    <font>
      <b/>
      <sz val="9"/>
      <name val="Arial"/>
      <family val="2"/>
      <scheme val="minor"/>
    </font>
    <font>
      <b/>
      <sz val="11"/>
      <color theme="4" tint="-0.249977111117893"/>
      <name val="Arial"/>
      <family val="2"/>
      <scheme val="minor"/>
    </font>
    <font>
      <b/>
      <sz val="12"/>
      <color theme="0"/>
      <name val="Arial"/>
      <family val="2"/>
      <scheme val="minor"/>
    </font>
    <font>
      <b/>
      <sz val="10"/>
      <color theme="0"/>
      <name val="Arial"/>
      <family val="2"/>
      <scheme val="minor"/>
    </font>
    <font>
      <sz val="8"/>
      <color theme="1" tint="0.499984740745262"/>
      <name val="Arial"/>
      <family val="2"/>
    </font>
    <font>
      <sz val="14"/>
      <color theme="4" tint="-0.249977111117893"/>
      <name val="Arial"/>
      <family val="2"/>
      <scheme val="minor"/>
    </font>
    <font>
      <sz val="10"/>
      <color theme="4" tint="-0.249977111117893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464A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rgb="FF3464AB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/>
      <top/>
      <bottom style="thin">
        <color theme="0" tint="-0.24994659260841701"/>
      </bottom>
      <diagonal/>
    </border>
    <border>
      <left style="thin">
        <color theme="4" tint="0.59996337778862885"/>
      </left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4" tint="0.39994506668294322"/>
      </left>
      <right/>
      <top/>
      <bottom style="thin">
        <color theme="0" tint="-0.24994659260841701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4" tint="0.59996337778862885"/>
      </bottom>
      <diagonal/>
    </border>
    <border>
      <left/>
      <right/>
      <top style="medium">
        <color indexed="64"/>
      </top>
      <bottom style="thin">
        <color theme="4" tint="0.59996337778862885"/>
      </bottom>
      <diagonal/>
    </border>
    <border>
      <left/>
      <right style="medium">
        <color indexed="64"/>
      </right>
      <top style="medium">
        <color indexed="64"/>
      </top>
      <bottom style="thin">
        <color theme="4" tint="0.59996337778862885"/>
      </bottom>
      <diagonal/>
    </border>
    <border>
      <left style="medium">
        <color indexed="64"/>
      </left>
      <right/>
      <top style="thin">
        <color theme="4" tint="0.59996337778862885"/>
      </top>
      <bottom style="thin">
        <color theme="4" tint="0.59996337778862885"/>
      </bottom>
      <diagonal/>
    </border>
    <border>
      <left/>
      <right style="medium">
        <color indexed="64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indexed="64"/>
      </left>
      <right/>
      <top style="thin">
        <color theme="4" tint="0.59996337778862885"/>
      </top>
      <bottom style="medium">
        <color indexed="64"/>
      </bottom>
      <diagonal/>
    </border>
    <border>
      <left/>
      <right/>
      <top style="thin">
        <color theme="4" tint="0.59996337778862885"/>
      </top>
      <bottom style="medium">
        <color indexed="64"/>
      </bottom>
      <diagonal/>
    </border>
    <border>
      <left/>
      <right style="medium">
        <color indexed="64"/>
      </right>
      <top style="thin">
        <color theme="4" tint="0.59996337778862885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medium">
        <color indexed="64"/>
      </top>
      <bottom style="thin">
        <color theme="4" tint="0.59996337778862885"/>
      </bottom>
      <diagonal/>
    </border>
    <border>
      <left/>
      <right style="medium">
        <color theme="1"/>
      </right>
      <top style="medium">
        <color indexed="64"/>
      </top>
      <bottom style="thin">
        <color theme="4" tint="0.59996337778862885"/>
      </bottom>
      <diagonal/>
    </border>
    <border>
      <left style="medium">
        <color theme="1"/>
      </left>
      <right/>
      <top style="thin">
        <color theme="4" tint="0.59996337778862885"/>
      </top>
      <bottom style="thin">
        <color theme="4" tint="0.59996337778862885"/>
      </bottom>
      <diagonal/>
    </border>
    <border>
      <left/>
      <right style="medium">
        <color theme="1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1"/>
      </left>
      <right/>
      <top style="thin">
        <color theme="4" tint="0.59996337778862885"/>
      </top>
      <bottom style="medium">
        <color theme="1"/>
      </bottom>
      <diagonal/>
    </border>
    <border>
      <left/>
      <right style="medium">
        <color theme="1"/>
      </right>
      <top style="thin">
        <color theme="4" tint="0.59996337778862885"/>
      </top>
      <bottom style="medium">
        <color theme="1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104">
    <xf numFmtId="0" fontId="0" fillId="0" borderId="0" xfId="0"/>
    <xf numFmtId="0" fontId="8" fillId="6" borderId="1" xfId="0" applyFont="1" applyFill="1" applyBorder="1" applyAlignment="1">
      <alignment horizontal="left" vertical="center" indent="1"/>
    </xf>
    <xf numFmtId="0" fontId="8" fillId="6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vertical="center"/>
    </xf>
    <xf numFmtId="0" fontId="2" fillId="7" borderId="0" xfId="0" applyFont="1" applyFill="1"/>
    <xf numFmtId="0" fontId="3" fillId="7" borderId="0" xfId="0" applyFont="1" applyFill="1" applyAlignment="1">
      <alignment horizontal="left" wrapText="1" indent="1"/>
    </xf>
    <xf numFmtId="0" fontId="4" fillId="7" borderId="0" xfId="0" applyFont="1" applyFill="1"/>
    <xf numFmtId="0" fontId="3" fillId="7" borderId="0" xfId="0" applyFont="1" applyFill="1"/>
    <xf numFmtId="0" fontId="13" fillId="0" borderId="0" xfId="0" applyFont="1" applyAlignment="1">
      <alignment vertical="center"/>
    </xf>
    <xf numFmtId="0" fontId="3" fillId="7" borderId="0" xfId="0" applyFont="1" applyFill="1" applyAlignment="1">
      <alignment horizontal="left" wrapText="1"/>
    </xf>
    <xf numFmtId="0" fontId="5" fillId="7" borderId="0" xfId="0" applyFont="1" applyFill="1" applyAlignment="1">
      <alignment horizontal="left" wrapText="1"/>
    </xf>
    <xf numFmtId="0" fontId="6" fillId="7" borderId="0" xfId="0" applyFont="1" applyFill="1" applyAlignment="1">
      <alignment horizontal="left" wrapText="1"/>
    </xf>
    <xf numFmtId="0" fontId="3" fillId="7" borderId="0" xfId="0" applyFont="1" applyFill="1" applyAlignment="1">
      <alignment horizontal="left"/>
    </xf>
    <xf numFmtId="0" fontId="11" fillId="7" borderId="0" xfId="0" applyFont="1" applyFill="1" applyAlignment="1">
      <alignment horizontal="left" wrapText="1"/>
    </xf>
    <xf numFmtId="0" fontId="2" fillId="0" borderId="0" xfId="0" applyFont="1"/>
    <xf numFmtId="0" fontId="14" fillId="0" borderId="0" xfId="0" applyFont="1"/>
    <xf numFmtId="0" fontId="16" fillId="0" borderId="0" xfId="0" applyFont="1"/>
    <xf numFmtId="0" fontId="12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21" fillId="0" borderId="0" xfId="0" applyFont="1"/>
    <xf numFmtId="0" fontId="25" fillId="0" borderId="0" xfId="0" applyFont="1" applyAlignment="1">
      <alignment horizontal="right" vertical="center"/>
    </xf>
    <xf numFmtId="0" fontId="15" fillId="0" borderId="0" xfId="0" applyFont="1"/>
    <xf numFmtId="0" fontId="26" fillId="0" borderId="0" xfId="0" applyFont="1"/>
    <xf numFmtId="0" fontId="25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right" vertical="center"/>
    </xf>
    <xf numFmtId="0" fontId="10" fillId="7" borderId="0" xfId="1" applyFill="1" applyAlignment="1" applyProtection="1">
      <alignment horizontal="left" wrapText="1"/>
    </xf>
    <xf numFmtId="0" fontId="28" fillId="0" borderId="0" xfId="0" applyFont="1" applyAlignment="1">
      <alignment horizontal="right" vertical="center"/>
    </xf>
    <xf numFmtId="0" fontId="19" fillId="0" borderId="0" xfId="0" applyFont="1" applyAlignment="1">
      <alignment horizontal="right" vertical="center"/>
    </xf>
    <xf numFmtId="0" fontId="16" fillId="0" borderId="0" xfId="0" applyFont="1" applyAlignment="1">
      <alignment vertical="center"/>
    </xf>
    <xf numFmtId="0" fontId="19" fillId="0" borderId="0" xfId="1" applyFont="1" applyBorder="1" applyAlignment="1" applyProtection="1">
      <alignment vertical="center"/>
    </xf>
    <xf numFmtId="0" fontId="31" fillId="2" borderId="0" xfId="0" applyFont="1" applyFill="1" applyAlignment="1">
      <alignment horizontal="center" vertical="center"/>
    </xf>
    <xf numFmtId="0" fontId="22" fillId="4" borderId="0" xfId="0" applyFont="1" applyFill="1" applyAlignment="1">
      <alignment horizontal="center" vertical="center"/>
    </xf>
    <xf numFmtId="0" fontId="16" fillId="5" borderId="0" xfId="0" applyFont="1" applyFill="1" applyAlignment="1">
      <alignment horizontal="center" vertical="center" shrinkToFit="1"/>
    </xf>
    <xf numFmtId="0" fontId="16" fillId="5" borderId="0" xfId="0" applyFont="1" applyFill="1" applyAlignment="1">
      <alignment vertical="center" shrinkToFit="1"/>
    </xf>
    <xf numFmtId="0" fontId="14" fillId="5" borderId="0" xfId="0" applyFont="1" applyFill="1" applyAlignment="1">
      <alignment horizontal="center" vertical="center" shrinkToFit="1"/>
    </xf>
    <xf numFmtId="0" fontId="19" fillId="0" borderId="0" xfId="0" applyFont="1" applyAlignment="1">
      <alignment vertical="center"/>
    </xf>
    <xf numFmtId="0" fontId="20" fillId="0" borderId="0" xfId="1" applyFont="1" applyBorder="1" applyAlignment="1" applyProtection="1">
      <alignment vertical="center"/>
    </xf>
    <xf numFmtId="0" fontId="24" fillId="0" borderId="0" xfId="0" applyFont="1" applyAlignment="1">
      <alignment vertical="center"/>
    </xf>
    <xf numFmtId="0" fontId="18" fillId="3" borderId="3" xfId="0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 vertical="center" shrinkToFit="1"/>
    </xf>
    <xf numFmtId="165" fontId="14" fillId="8" borderId="4" xfId="0" applyNumberFormat="1" applyFont="1" applyFill="1" applyBorder="1" applyAlignment="1">
      <alignment horizontal="left" vertical="center" shrinkToFit="1"/>
    </xf>
    <xf numFmtId="0" fontId="17" fillId="4" borderId="0" xfId="0" applyFont="1" applyFill="1" applyAlignment="1">
      <alignment horizontal="center" vertical="center"/>
    </xf>
    <xf numFmtId="0" fontId="7" fillId="0" borderId="4" xfId="0" applyFont="1" applyBorder="1" applyAlignment="1">
      <alignment horizontal="center" vertical="center" shrinkToFit="1"/>
    </xf>
    <xf numFmtId="164" fontId="30" fillId="2" borderId="5" xfId="0" applyNumberFormat="1" applyFont="1" applyFill="1" applyBorder="1" applyAlignment="1">
      <alignment horizontal="center" vertical="center"/>
    </xf>
    <xf numFmtId="0" fontId="23" fillId="0" borderId="0" xfId="0" applyFont="1"/>
    <xf numFmtId="0" fontId="18" fillId="3" borderId="7" xfId="0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 shrinkToFit="1"/>
    </xf>
    <xf numFmtId="167" fontId="14" fillId="2" borderId="6" xfId="0" applyNumberFormat="1" applyFont="1" applyFill="1" applyBorder="1" applyAlignment="1">
      <alignment horizontal="center" vertical="center" shrinkToFit="1"/>
    </xf>
    <xf numFmtId="166" fontId="14" fillId="5" borderId="0" xfId="0" applyNumberFormat="1" applyFont="1" applyFill="1" applyAlignment="1">
      <alignment horizontal="center" vertical="center" shrinkToFit="1"/>
    </xf>
    <xf numFmtId="167" fontId="22" fillId="3" borderId="0" xfId="0" applyNumberFormat="1" applyFont="1" applyFill="1" applyAlignment="1">
      <alignment horizontal="center" vertical="center" shrinkToFit="1"/>
    </xf>
    <xf numFmtId="167" fontId="7" fillId="2" borderId="6" xfId="0" applyNumberFormat="1" applyFont="1" applyFill="1" applyBorder="1" applyAlignment="1">
      <alignment horizontal="center" vertical="center"/>
    </xf>
    <xf numFmtId="167" fontId="7" fillId="5" borderId="0" xfId="0" applyNumberFormat="1" applyFont="1" applyFill="1" applyAlignment="1">
      <alignment horizontal="center" vertical="center"/>
    </xf>
    <xf numFmtId="0" fontId="7" fillId="5" borderId="4" xfId="0" applyFont="1" applyFill="1" applyBorder="1" applyAlignment="1">
      <alignment horizontal="center" vertical="center" shrinkToFit="1"/>
    </xf>
    <xf numFmtId="0" fontId="7" fillId="5" borderId="4" xfId="0" applyFont="1" applyFill="1" applyBorder="1" applyAlignment="1">
      <alignment horizontal="left" vertical="center" shrinkToFit="1"/>
    </xf>
    <xf numFmtId="167" fontId="29" fillId="3" borderId="0" xfId="0" applyNumberFormat="1" applyFont="1" applyFill="1" applyAlignment="1">
      <alignment horizontal="center" vertical="center"/>
    </xf>
    <xf numFmtId="0" fontId="32" fillId="0" borderId="0" xfId="0" applyFont="1" applyAlignment="1">
      <alignment horizontal="right" vertical="center" indent="1"/>
    </xf>
    <xf numFmtId="0" fontId="26" fillId="0" borderId="0" xfId="0" applyFont="1" applyAlignment="1">
      <alignment vertical="center"/>
    </xf>
    <xf numFmtId="0" fontId="17" fillId="4" borderId="10" xfId="0" applyFont="1" applyFill="1" applyBorder="1" applyAlignment="1">
      <alignment horizontal="center" vertical="center"/>
    </xf>
    <xf numFmtId="0" fontId="17" fillId="3" borderId="8" xfId="0" applyFont="1" applyFill="1" applyBorder="1" applyAlignment="1">
      <alignment vertical="center"/>
    </xf>
    <xf numFmtId="0" fontId="17" fillId="3" borderId="0" xfId="0" applyFont="1" applyFill="1" applyAlignment="1">
      <alignment vertical="center"/>
    </xf>
    <xf numFmtId="0" fontId="33" fillId="9" borderId="8" xfId="0" applyFont="1" applyFill="1" applyBorder="1" applyAlignment="1">
      <alignment vertical="center"/>
    </xf>
    <xf numFmtId="0" fontId="33" fillId="9" borderId="0" xfId="0" applyFont="1" applyFill="1" applyAlignment="1">
      <alignment vertical="center"/>
    </xf>
    <xf numFmtId="0" fontId="17" fillId="4" borderId="0" xfId="0" applyFont="1" applyFill="1" applyAlignment="1">
      <alignment vertical="center"/>
    </xf>
    <xf numFmtId="0" fontId="33" fillId="9" borderId="0" xfId="0" applyFont="1" applyFill="1" applyAlignment="1">
      <alignment horizontal="center" vertical="center"/>
    </xf>
    <xf numFmtId="0" fontId="10" fillId="0" borderId="0" xfId="1" applyFill="1" applyAlignment="1" applyProtection="1">
      <alignment vertical="center"/>
    </xf>
    <xf numFmtId="0" fontId="35" fillId="0" borderId="0" xfId="1" applyFont="1" applyBorder="1" applyAlignment="1" applyProtection="1"/>
    <xf numFmtId="0" fontId="19" fillId="0" borderId="0" xfId="0" applyFont="1" applyAlignment="1">
      <alignment horizontal="right"/>
    </xf>
    <xf numFmtId="0" fontId="36" fillId="0" borderId="0" xfId="0" applyFont="1" applyAlignment="1">
      <alignment vertical="center"/>
    </xf>
    <xf numFmtId="0" fontId="37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33" fillId="9" borderId="0" xfId="0" applyFont="1" applyFill="1" applyAlignment="1">
      <alignment horizontal="center" vertical="center"/>
    </xf>
    <xf numFmtId="0" fontId="33" fillId="9" borderId="0" xfId="0" applyFont="1" applyFill="1" applyAlignment="1">
      <alignment horizontal="center" vertical="center"/>
    </xf>
    <xf numFmtId="0" fontId="33" fillId="9" borderId="8" xfId="0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34" fillId="9" borderId="0" xfId="0" applyFont="1" applyFill="1" applyAlignment="1">
      <alignment horizontal="center" vertical="center"/>
    </xf>
    <xf numFmtId="0" fontId="33" fillId="9" borderId="0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left" vertical="center" shrinkToFit="1"/>
    </xf>
    <xf numFmtId="167" fontId="7" fillId="2" borderId="13" xfId="0" applyNumberFormat="1" applyFont="1" applyFill="1" applyBorder="1" applyAlignment="1">
      <alignment horizontal="center" vertical="center"/>
    </xf>
    <xf numFmtId="167" fontId="7" fillId="2" borderId="14" xfId="0" applyNumberFormat="1" applyFont="1" applyFill="1" applyBorder="1" applyAlignment="1">
      <alignment horizontal="center" vertical="center"/>
    </xf>
    <xf numFmtId="167" fontId="7" fillId="3" borderId="15" xfId="0" applyNumberFormat="1" applyFont="1" applyFill="1" applyBorder="1" applyAlignment="1">
      <alignment horizontal="center" vertical="center"/>
    </xf>
    <xf numFmtId="167" fontId="7" fillId="2" borderId="16" xfId="0" applyNumberFormat="1" applyFont="1" applyFill="1" applyBorder="1" applyAlignment="1">
      <alignment horizontal="center" vertical="center"/>
    </xf>
    <xf numFmtId="167" fontId="7" fillId="3" borderId="17" xfId="0" applyNumberFormat="1" applyFont="1" applyFill="1" applyBorder="1" applyAlignment="1">
      <alignment horizontal="center" vertical="center"/>
    </xf>
    <xf numFmtId="167" fontId="7" fillId="2" borderId="18" xfId="0" applyNumberFormat="1" applyFont="1" applyFill="1" applyBorder="1" applyAlignment="1">
      <alignment horizontal="center" vertical="center"/>
    </xf>
    <xf numFmtId="167" fontId="7" fillId="2" borderId="19" xfId="0" applyNumberFormat="1" applyFont="1" applyFill="1" applyBorder="1" applyAlignment="1">
      <alignment horizontal="center" vertical="center"/>
    </xf>
    <xf numFmtId="167" fontId="7" fillId="3" borderId="20" xfId="0" applyNumberFormat="1" applyFont="1" applyFill="1" applyBorder="1" applyAlignment="1">
      <alignment horizontal="center" vertical="center"/>
    </xf>
    <xf numFmtId="0" fontId="33" fillId="9" borderId="12" xfId="0" applyFont="1" applyFill="1" applyBorder="1" applyAlignment="1">
      <alignment horizontal="center" vertical="center"/>
    </xf>
    <xf numFmtId="0" fontId="22" fillId="4" borderId="21" xfId="0" applyFont="1" applyFill="1" applyBorder="1" applyAlignment="1">
      <alignment horizontal="center" vertical="center"/>
    </xf>
    <xf numFmtId="0" fontId="22" fillId="4" borderId="22" xfId="0" applyFont="1" applyFill="1" applyBorder="1" applyAlignment="1">
      <alignment horizontal="center" vertical="center"/>
    </xf>
    <xf numFmtId="167" fontId="7" fillId="2" borderId="15" xfId="0" applyNumberFormat="1" applyFont="1" applyFill="1" applyBorder="1" applyAlignment="1">
      <alignment horizontal="center" vertical="center"/>
    </xf>
    <xf numFmtId="167" fontId="7" fillId="2" borderId="17" xfId="0" applyNumberFormat="1" applyFont="1" applyFill="1" applyBorder="1" applyAlignment="1">
      <alignment horizontal="center" vertical="center"/>
    </xf>
    <xf numFmtId="167" fontId="7" fillId="2" borderId="20" xfId="0" applyNumberFormat="1" applyFont="1" applyFill="1" applyBorder="1" applyAlignment="1">
      <alignment horizontal="center" vertical="center"/>
    </xf>
    <xf numFmtId="0" fontId="22" fillId="4" borderId="23" xfId="0" applyFont="1" applyFill="1" applyBorder="1" applyAlignment="1">
      <alignment horizontal="center" vertical="center"/>
    </xf>
    <xf numFmtId="0" fontId="33" fillId="9" borderId="11" xfId="0" applyFont="1" applyFill="1" applyBorder="1" applyAlignment="1">
      <alignment horizontal="center" vertical="center"/>
    </xf>
    <xf numFmtId="0" fontId="33" fillId="9" borderId="24" xfId="0" applyFont="1" applyFill="1" applyBorder="1" applyAlignment="1">
      <alignment horizontal="center" vertical="center"/>
    </xf>
    <xf numFmtId="0" fontId="22" fillId="4" borderId="25" xfId="0" applyFont="1" applyFill="1" applyBorder="1" applyAlignment="1">
      <alignment horizontal="center" vertical="center"/>
    </xf>
    <xf numFmtId="0" fontId="22" fillId="4" borderId="26" xfId="0" applyFont="1" applyFill="1" applyBorder="1" applyAlignment="1">
      <alignment horizontal="center" vertical="center"/>
    </xf>
    <xf numFmtId="0" fontId="22" fillId="4" borderId="27" xfId="0" applyFont="1" applyFill="1" applyBorder="1" applyAlignment="1">
      <alignment horizontal="center" vertical="center"/>
    </xf>
    <xf numFmtId="0" fontId="22" fillId="4" borderId="28" xfId="0" applyFont="1" applyFill="1" applyBorder="1" applyAlignment="1">
      <alignment horizontal="center" vertical="center"/>
    </xf>
    <xf numFmtId="167" fontId="7" fillId="2" borderId="29" xfId="0" applyNumberFormat="1" applyFont="1" applyFill="1" applyBorder="1" applyAlignment="1">
      <alignment horizontal="center" vertical="center"/>
    </xf>
    <xf numFmtId="167" fontId="7" fillId="2" borderId="30" xfId="0" applyNumberFormat="1" applyFont="1" applyFill="1" applyBorder="1" applyAlignment="1">
      <alignment horizontal="center" vertical="center"/>
    </xf>
    <xf numFmtId="167" fontId="7" fillId="2" borderId="31" xfId="0" applyNumberFormat="1" applyFont="1" applyFill="1" applyBorder="1" applyAlignment="1">
      <alignment horizontal="center" vertical="center"/>
    </xf>
    <xf numFmtId="167" fontId="7" fillId="2" borderId="32" xfId="0" applyNumberFormat="1" applyFont="1" applyFill="1" applyBorder="1" applyAlignment="1">
      <alignment horizontal="center" vertical="center"/>
    </xf>
    <xf numFmtId="167" fontId="7" fillId="2" borderId="33" xfId="0" applyNumberFormat="1" applyFont="1" applyFill="1" applyBorder="1" applyAlignment="1">
      <alignment horizontal="center" vertical="center"/>
    </xf>
    <xf numFmtId="167" fontId="7" fillId="2" borderId="34" xfId="0" applyNumberFormat="1" applyFont="1" applyFill="1" applyBorder="1" applyAlignment="1">
      <alignment horizontal="center" vertical="center"/>
    </xf>
  </cellXfs>
  <cellStyles count="2">
    <cellStyle name="Hyperlink" xfId="1" builtinId="8" customBuiltin="1"/>
    <cellStyle name="Normal" xfId="0" builtinId="0" customBuiltin="1"/>
  </cellStyles>
  <dxfs count="60"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83B1C9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E4EEF3"/>
      <rgbColor rgb="00F3E9E4"/>
      <rgbColor rgb="001849B5"/>
      <rgbColor rgb="0036ACA2"/>
      <rgbColor rgb="00F0BA00"/>
      <rgbColor rgb="00E1C8BC"/>
      <rgbColor rgb="00C99A83"/>
      <rgbColor rgb="0087543B"/>
      <rgbColor rgb="003B6D87"/>
      <rgbColor rgb="00C0C0C0"/>
      <rgbColor rgb="00003366"/>
      <rgbColor rgb="00109618"/>
      <rgbColor rgb="00085108"/>
      <rgbColor rgb="00635100"/>
      <rgbColor rgb="00593727"/>
      <rgbColor rgb="00BCD5E1"/>
      <rgbColor rgb="0027485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vertex42.com/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s://www.vertex42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1743075</xdr:colOff>
      <xdr:row>0</xdr:row>
      <xdr:rowOff>276225</xdr:rowOff>
    </xdr:from>
    <xdr:to>
      <xdr:col>19</xdr:col>
      <xdr:colOff>3086100</xdr:colOff>
      <xdr:row>0</xdr:row>
      <xdr:rowOff>323850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F907AD5-BFE3-4B59-8FAB-91E60A1A8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82225" y="276225"/>
          <a:ext cx="1343025" cy="476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55620</xdr:colOff>
      <xdr:row>0</xdr:row>
      <xdr:rowOff>0</xdr:rowOff>
    </xdr:from>
    <xdr:ext cx="1430280" cy="400106"/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C59D055-A839-40FF-A497-2933D08446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8145" y="0"/>
          <a:ext cx="1430280" cy="40010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DarkGreen - Timesheet">
      <a:dk1>
        <a:sysClr val="windowText" lastClr="000000"/>
      </a:dk1>
      <a:lt1>
        <a:sysClr val="window" lastClr="FFFFFF"/>
      </a:lt1>
      <a:dk2>
        <a:srgbClr val="3A5D9C"/>
      </a:dk2>
      <a:lt2>
        <a:srgbClr val="EEECE2"/>
      </a:lt2>
      <a:accent1>
        <a:srgbClr val="3F7548"/>
      </a:accent1>
      <a:accent2>
        <a:srgbClr val="C04E4E"/>
      </a:accent2>
      <a:accent3>
        <a:srgbClr val="3B4E87"/>
      </a:accent3>
      <a:accent4>
        <a:srgbClr val="7860B4"/>
      </a:accent4>
      <a:accent5>
        <a:srgbClr val="E68422"/>
      </a:accent5>
      <a:accent6>
        <a:srgbClr val="846648"/>
      </a:accent6>
      <a:hlink>
        <a:srgbClr val="4C92AE"/>
      </a:hlink>
      <a:folHlink>
        <a:srgbClr val="969696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vertex42.com/templates/employee-leave-tracker.html" TargetMode="External"/><Relationship Id="rId1" Type="http://schemas.openxmlformats.org/officeDocument/2006/relationships/hyperlink" Target="https://www.vertex42.com/templates/employee-leave-tracker.htm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4.bin"/><Relationship Id="rId2" Type="http://schemas.openxmlformats.org/officeDocument/2006/relationships/hyperlink" Target="https://www.vertex42.com/templates/employee-leave-tracker.html" TargetMode="External"/><Relationship Id="rId1" Type="http://schemas.openxmlformats.org/officeDocument/2006/relationships/hyperlink" Target="https://www.vertex42.com/licensing/EULA_privateuse.html" TargetMode="External"/><Relationship Id="rId5" Type="http://schemas.openxmlformats.org/officeDocument/2006/relationships/image" Target="../media/image2.png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Views>
    <sheetView showGridLines="0" tabSelected="1" topLeftCell="B1" workbookViewId="0">
      <selection activeCell="M3" sqref="M3"/>
    </sheetView>
  </sheetViews>
  <sheetFormatPr defaultColWidth="9.1796875" defaultRowHeight="12.5" x14ac:dyDescent="0.25"/>
  <cols>
    <col min="1" max="1" width="17" style="15" customWidth="1"/>
    <col min="2" max="2" width="31" style="15" customWidth="1"/>
    <col min="3" max="8" width="7.7265625" style="15" customWidth="1"/>
    <col min="9" max="9" width="9.7265625" style="15" customWidth="1"/>
    <col min="10" max="10" width="10.453125" style="15" customWidth="1"/>
    <col min="11" max="19" width="7.7265625" style="15" customWidth="1"/>
    <col min="20" max="20" width="56.54296875" style="15" customWidth="1"/>
    <col min="21" max="16384" width="9.1796875" style="15"/>
  </cols>
  <sheetData>
    <row r="1" spans="1:20" s="18" customFormat="1" ht="26.25" customHeight="1" x14ac:dyDescent="0.25">
      <c r="A1" s="17" t="s">
        <v>0</v>
      </c>
      <c r="C1" s="8"/>
      <c r="D1" s="8"/>
      <c r="E1" s="8"/>
      <c r="F1" s="8"/>
      <c r="G1" s="67"/>
      <c r="H1" s="67"/>
      <c r="I1" s="67"/>
      <c r="J1" s="67"/>
      <c r="K1" s="68"/>
      <c r="L1" s="68"/>
      <c r="M1" s="68"/>
      <c r="N1" s="68"/>
      <c r="O1" s="69"/>
      <c r="P1" s="69"/>
      <c r="Q1" s="68"/>
      <c r="R1" s="68"/>
      <c r="S1" s="24" t="s">
        <v>1</v>
      </c>
    </row>
    <row r="2" spans="1:20" x14ac:dyDescent="0.25">
      <c r="T2" s="64" t="s">
        <v>0</v>
      </c>
    </row>
    <row r="3" spans="1:20" s="21" customFormat="1" ht="15.5" x14ac:dyDescent="0.35">
      <c r="A3" s="20" t="s">
        <v>2</v>
      </c>
      <c r="B3" s="23">
        <v>2024</v>
      </c>
      <c r="I3" s="15"/>
      <c r="J3" s="15"/>
      <c r="T3" s="22" t="s">
        <v>3</v>
      </c>
    </row>
    <row r="4" spans="1:20" x14ac:dyDescent="0.25">
      <c r="T4" s="19"/>
    </row>
    <row r="5" spans="1:20" ht="13" x14ac:dyDescent="0.3">
      <c r="A5" s="44" t="s">
        <v>4</v>
      </c>
      <c r="T5" s="22" t="s">
        <v>5</v>
      </c>
    </row>
    <row r="6" spans="1:20" x14ac:dyDescent="0.25">
      <c r="T6" s="19"/>
    </row>
    <row r="7" spans="1:20" ht="18" customHeight="1" x14ac:dyDescent="0.25">
      <c r="A7" s="72" t="s">
        <v>6</v>
      </c>
      <c r="B7" s="71"/>
      <c r="C7" s="71" t="s">
        <v>7</v>
      </c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0"/>
      <c r="S7" s="63"/>
      <c r="T7" s="19"/>
    </row>
    <row r="8" spans="1:20" ht="18" customHeight="1" thickBot="1" x14ac:dyDescent="0.3">
      <c r="A8" s="75"/>
      <c r="B8" s="70"/>
      <c r="C8" s="93" t="s">
        <v>49</v>
      </c>
      <c r="D8" s="93"/>
      <c r="E8" s="85" t="s">
        <v>51</v>
      </c>
      <c r="F8" s="85"/>
      <c r="G8" s="92" t="s">
        <v>52</v>
      </c>
      <c r="H8" s="85"/>
      <c r="I8" s="85" t="s">
        <v>53</v>
      </c>
      <c r="J8" s="85"/>
      <c r="K8" s="85" t="s">
        <v>54</v>
      </c>
      <c r="L8" s="85"/>
      <c r="M8" s="85" t="s">
        <v>55</v>
      </c>
      <c r="N8" s="85"/>
      <c r="O8" s="85" t="s">
        <v>56</v>
      </c>
      <c r="P8" s="85"/>
      <c r="Q8" s="85" t="s">
        <v>57</v>
      </c>
      <c r="R8" s="85"/>
      <c r="S8" s="70"/>
      <c r="T8" s="19"/>
    </row>
    <row r="9" spans="1:20" s="18" customFormat="1" ht="18" customHeight="1" thickBot="1" x14ac:dyDescent="0.3">
      <c r="A9" s="57" t="s">
        <v>8</v>
      </c>
      <c r="B9" s="41" t="s">
        <v>9</v>
      </c>
      <c r="C9" s="86" t="s">
        <v>10</v>
      </c>
      <c r="D9" s="91" t="s">
        <v>50</v>
      </c>
      <c r="E9" s="94" t="s">
        <v>11</v>
      </c>
      <c r="F9" s="95" t="str">
        <f>D9</f>
        <v>Balance</v>
      </c>
      <c r="G9" s="86" t="s">
        <v>12</v>
      </c>
      <c r="H9" s="87" t="str">
        <f>F9</f>
        <v>Balance</v>
      </c>
      <c r="I9" s="86" t="s">
        <v>13</v>
      </c>
      <c r="J9" s="87" t="str">
        <f>H9</f>
        <v>Balance</v>
      </c>
      <c r="K9" s="86" t="s">
        <v>14</v>
      </c>
      <c r="L9" s="87" t="str">
        <f>J9</f>
        <v>Balance</v>
      </c>
      <c r="M9" s="86" t="s">
        <v>15</v>
      </c>
      <c r="N9" s="87" t="str">
        <f>L9</f>
        <v>Balance</v>
      </c>
      <c r="O9" s="86" t="s">
        <v>16</v>
      </c>
      <c r="P9" s="91" t="str">
        <f>N9</f>
        <v>Balance</v>
      </c>
      <c r="Q9" s="96" t="s">
        <v>17</v>
      </c>
      <c r="R9" s="97" t="str">
        <f>P9</f>
        <v>Balance</v>
      </c>
      <c r="S9" s="31" t="s">
        <v>18</v>
      </c>
      <c r="T9" s="56" t="s">
        <v>19</v>
      </c>
    </row>
    <row r="10" spans="1:20" ht="18" customHeight="1" x14ac:dyDescent="0.25">
      <c r="A10" s="42">
        <v>1</v>
      </c>
      <c r="B10" s="76" t="s">
        <v>20</v>
      </c>
      <c r="C10" s="77">
        <f>IFERROR(INDEX(Aug!AH$6:AH$31,MATCH($A10,Aug!$A$6:$A$31,0)),0)+IFERROR(INDEX(Sep!AH$6:AH$31,MATCH($A10,Sep!$A$6:$A$31,0)),0)+IFERROR(INDEX(Oct!AH$6:AH$31,MATCH($A10,Oct!$A$6:$A$31,0)),0)+IFERROR(INDEX(Nov!AH$6:AH$31,MATCH($A10,Nov!$A$6:$A$31,0)),0)+IFERROR(INDEX(Dec!AH$6:AH$31,MATCH($A10,Dec!$A$6:$A$31,0)),0)+IFERROR(INDEX(Jan!AH$6:AH$32,MATCH($A10,Jan!$A$6:$A$32,0)),0)+IFERROR(INDEX(Feb!AH$6:AH$28,MATCH($A10,Feb!$A$6:$A$28,0)),0)+IFERROR(INDEX(Mar!AH$6:AH$31,MATCH($A10,Mar!$A$6:$A$31,0)),0)+IFERROR(INDEX(Apr!AH$6:AH$31,MATCH($A10,Apr!$A$6:$A$31,0)),0)+IFERROR(INDEX(May!AH$6:AH$31,MATCH($A10,May!$A$6:$A$31,0)),0)+IFERROR(INDEX(Jun!AH$6:AH$31,MATCH($A10,Jun!$A$6:$A$31,0)),0)+IFERROR(INDEX(Jul!AH$6:AH$31,MATCH($A10,Jul!$A$6:$A$31,0)),0)</f>
        <v>0</v>
      </c>
      <c r="D10" s="78" t="str">
        <f>IF(C10&gt;0, 21-C10, "")</f>
        <v/>
      </c>
      <c r="E10" s="77">
        <f>IFERROR(INDEX(Aug!AI$6:AI$31,MATCH($A10,Aug!$A$6:$A$31,0)),0)+IFERROR(INDEX(Sep!AI$6:AI$31,MATCH($A10,Sep!$A$6:$A$31,0)),0)+IFERROR(INDEX(Oct!AI$6:AI$31,MATCH($A10,Oct!$A$6:$A$31,0)),0)+IFERROR(INDEX(Nov!AI$6:AI$31,MATCH($A10,Nov!$A$6:$A$31,0)),0)+IFERROR(INDEX(Dec!AI$6:AI$31,MATCH($A10,Dec!$A$6:$A$31,0)),0)+IFERROR(INDEX(Jan!AI$6:AI$32,MATCH($A10,Jan!$A$6:$A$32,0)),0)+IFERROR(INDEX(Feb!AI$6:AI$28,MATCH($A10,Feb!$A$6:$A$28,0)),0)+IFERROR(INDEX(Mar!AI$6:AI$31,MATCH($A10,Mar!$A$6:$A$31,0)),0)+IFERROR(INDEX(Apr!AI$6:AI$31,MATCH($A10,Apr!$A$6:$A$31,0)),0)+IFERROR(INDEX(May!AI$6:AI$31,MATCH($A10,May!$A$6:$A$31,0)),0)+IFERROR(INDEX(Jun!AI$6:AI$31,MATCH($A10,Jun!$A$6:$A$31,0)),0)+IFERROR(INDEX(Jul!AI$6:AI$31,MATCH($A10,Jul!$A$6:$A$31,0)),0)</f>
        <v>0</v>
      </c>
      <c r="F10" s="88" t="str">
        <f>IF(E10&gt;0, 15-E10, "")</f>
        <v/>
      </c>
      <c r="G10" s="77">
        <f>IFERROR(INDEX(Aug!AJ$6:AJ$31,MATCH($A10,Aug!$A$6:$A$31,0)),0)+IFERROR(INDEX(Sep!AJ$6:AJ$31,MATCH($A10,Sep!$A$6:$A$31,0)),0)+IFERROR(INDEX(Oct!AJ$6:AJ$31,MATCH($A10,Oct!$A$6:$A$31,0)),0)+IFERROR(INDEX(Nov!AJ$6:AJ$31,MATCH($A10,Nov!$A$6:$A$31,0)),0)+IFERROR(INDEX(Dec!AJ$6:AJ$31,MATCH($A10,Dec!$A$6:$A$31,0)),0)+IFERROR(INDEX(Jan!AJ$6:AJ$32,MATCH($A10,Jan!$A$6:$A$32,0)),0)+IFERROR(INDEX(Feb!AJ$6:AJ$28,MATCH($A10,Feb!$A$6:$A$28,0)),0)+IFERROR(INDEX(Mar!AJ$6:AJ$31,MATCH($A10,Mar!$A$6:$A$31,0)),0)+IFERROR(INDEX(Apr!AJ$6:AJ$31,MATCH($A10,Apr!$A$6:$A$31,0)),0)+IFERROR(INDEX(May!AJ$6:AJ$31,MATCH($A10,May!$A$6:$A$31,0)),0)+IFERROR(INDEX(Jun!AJ$6:AJ$31,MATCH($A10,Jun!$A$6:$A$31,0)),0)+IFERROR(INDEX(Jul!AJ$6:AJ$31,MATCH($A10,Jul!$A$6:$A$31,0)),0)</f>
        <v>0</v>
      </c>
      <c r="H10" s="88" t="str">
        <f>IF(G10&gt;0, 80-G10, "")</f>
        <v/>
      </c>
      <c r="I10" s="77">
        <f>IFERROR(INDEX(Aug!AK$6:AK$31,MATCH($A10,Aug!$A$6:$A$31,0)),0)+IFERROR(INDEX(Sep!AK$6:AK$31,MATCH($A10,Sep!$A$6:$A$31,0)),0)+IFERROR(INDEX(Oct!AK$6:AK$31,MATCH($A10,Oct!$A$6:$A$31,0)),0)+IFERROR(INDEX(Nov!AK$6:AK$31,MATCH($A10,Nov!$A$6:$A$31,0)),0)+IFERROR(INDEX(Dec!AK$6:AK$31,MATCH($A10,Dec!$A$6:$A$31,0)),0)+IFERROR(INDEX(Jan!AK$6:AK$32,MATCH($A10,Jan!$A$6:$A$32,0)),0)+IFERROR(INDEX(Feb!AK$6:AK$28,MATCH($A10,Feb!$A$6:$A$28,0)),0)+IFERROR(INDEX(Mar!AK$6:AK$31,MATCH($A10,Mar!$A$6:$A$31,0)),0)+IFERROR(INDEX(Apr!AK$6:AK$31,MATCH($A10,Apr!$A$6:$A$31,0)),0)+IFERROR(INDEX(May!AK$6:AK$31,MATCH($A10,May!$A$6:$A$31,0)),0)+IFERROR(INDEX(Jun!AK$6:AK$31,MATCH($A10,Jun!$A$6:$A$31,0)),0)+IFERROR(INDEX(Jul!AK$6:AK$31,MATCH($A10,Jul!$A$6:$A$31,0)),0)</f>
        <v>0</v>
      </c>
      <c r="J10" s="88" t="str">
        <f>IF(I10&gt;0, 5-I10, "")</f>
        <v/>
      </c>
      <c r="K10" s="77">
        <f>IFERROR(INDEX(Aug!AL$6:AL$31,MATCH($A10,Aug!$A$6:$A$31,0)),0)+IFERROR(INDEX(Sep!AL$6:AL$31,MATCH($A10,Sep!$A$6:$A$31,0)),0)+IFERROR(INDEX(Oct!AL$6:AL$31,MATCH($A10,Oct!$A$6:$A$31,0)),0)+IFERROR(INDEX(Nov!AL$6:AL$31,MATCH($A10,Nov!$A$6:$A$31,0)),0)+IFERROR(INDEX(Dec!AL$6:AL$31,MATCH($A10,Dec!$A$6:$A$31,0)),0)+IFERROR(INDEX(Jan!AL$6:AL$32,MATCH($A10,Jan!$A$6:$A$32,0)),0)+IFERROR(INDEX(Feb!AL$6:AL$28,MATCH($A10,Feb!$A$6:$A$28,0)),0)+IFERROR(INDEX(Mar!AL$6:AL$31,MATCH($A10,Mar!$A$6:$A$31,0)),0)+IFERROR(INDEX(Apr!AL$6:AL$31,MATCH($A10,Apr!$A$6:$A$31,0)),0)+IFERROR(INDEX(May!AL$6:AL$31,MATCH($A10,May!$A$6:$A$31,0)),0)+IFERROR(INDEX(Jun!AL$6:AL$31,MATCH($A10,Jun!$A$6:$A$31,0)),0)+IFERROR(INDEX(Jul!AL$6:AL$31,MATCH($A10,Jul!$A$6:$A$31,0)),0)</f>
        <v>0</v>
      </c>
      <c r="L10" s="88" t="str">
        <f>IF(K10&gt;0, 5-K10, "")</f>
        <v/>
      </c>
      <c r="M10" s="77">
        <f>IFERROR(INDEX(Aug!AM$6:AM$31,MATCH($A10,Aug!$A$6:$A$31,0)),0)+IFERROR(INDEX(Sep!AM$6:AM$31,MATCH($A10,Sep!$A$6:$A$31,0)),0)+IFERROR(INDEX(Oct!AM$6:AM$31,MATCH($A10,Oct!$A$6:$A$31,0)),0)+IFERROR(INDEX(Nov!AM$6:AM$31,MATCH($A10,Nov!$A$6:$A$31,0)),0)+IFERROR(INDEX(Dec!AM$6:AM$31,MATCH($A10,Dec!$A$6:$A$31,0)),0)+IFERROR(INDEX(Jan!AM$6:AM$32,MATCH($A10,Jan!$A$6:$A$32,0)),0)+IFERROR(INDEX(Feb!AM$6:AM$28,MATCH($A10,Feb!$A$6:$A$28,0)),0)+IFERROR(INDEX(Mar!AM$6:AM$31,MATCH($A10,Mar!$A$6:$A$31,0)),0)+IFERROR(INDEX(Apr!AM$6:AM$31,MATCH($A10,Apr!$A$6:$A$31,0)),0)+IFERROR(INDEX(May!AM$6:AM$31,MATCH($A10,May!$A$6:$A$31,0)),0)+IFERROR(INDEX(Jun!AM$6:AM$31,MATCH($A10,Jun!$A$6:$A$31,0)),0)+IFERROR(INDEX(Jul!AM$6:AM$31,MATCH($A10,Jul!$A$6:$A$31,0)),0)</f>
        <v>0</v>
      </c>
      <c r="N10" s="88" t="str">
        <f>IF(M10&gt;0, 5-M10, "")</f>
        <v/>
      </c>
      <c r="O10" s="77">
        <f>IFERROR(INDEX(Aug!AN$6:AN$31,MATCH($A10,Aug!$A$6:$A$31,0)),0)+IFERROR(INDEX(Sep!AN$6:AN$31,MATCH($A10,Sep!$A$6:$A$31,0)),0)+IFERROR(INDEX(Oct!AN$6:AN$31,MATCH($A10,Oct!$A$6:$A$31,0)),0)+IFERROR(INDEX(Nov!AN$6:AN$31,MATCH($A10,Nov!$A$6:$A$31,0)),0)+IFERROR(INDEX(Dec!AN$6:AN$31,MATCH($A10,Dec!$A$6:$A$31,0)),0)+IFERROR(INDEX(Jan!AN$6:AN$32,MATCH($A10,Jan!$A$6:$A$32,0)),0)+IFERROR(INDEX(Feb!AN$6:AN$28,MATCH($A10,Feb!$A$6:$A$28,0)),0)+IFERROR(INDEX(Mar!AN$6:AN$31,MATCH($A10,Mar!$A$6:$A$31,0)),0)+IFERROR(INDEX(Apr!AN$6:AN$31,MATCH($A10,Apr!$A$6:$A$31,0)),0)+IFERROR(INDEX(May!AN$6:AN$31,MATCH($A10,May!$A$6:$A$31,0)),0)+IFERROR(INDEX(Jun!AN$6:AN$31,MATCH($A10,Jun!$A$6:$A$31,0)),0)+IFERROR(INDEX(Jul!AN$6:AN$31,MATCH($A10,Jul!$A$6:$A$31,0)),0)</f>
        <v>0</v>
      </c>
      <c r="P10" s="78" t="str">
        <f>IF(O10&gt;0, 5-O10, "")</f>
        <v/>
      </c>
      <c r="Q10" s="98">
        <f>IFERROR(INDEX(Aug!AO$6:AO$31,MATCH($A10,Aug!$A$6:$A$31,0)),0)+IFERROR(INDEX(Sep!AO$6:AO$31,MATCH($A10,Sep!$A$6:$A$31,0)),0)+IFERROR(INDEX(Oct!AO$6:AO$31,MATCH($A10,Oct!$A$6:$A$31,0)),0)+IFERROR(INDEX(Nov!AO$6:AO$31,MATCH($A10,Nov!$A$6:$A$31,0)),0)+IFERROR(INDEX(Dec!AO$6:AO$31,MATCH($A10,Dec!$A$6:$A$31,0)),0)+IFERROR(INDEX(Jan!AO$6:AO$32,MATCH($A10,Jan!$A$6:$A$32,0)),0)+IFERROR(INDEX(Feb!AO$6:AO$28,MATCH($A10,Feb!$A$6:$A$28,0)),0)+IFERROR(INDEX(Mar!AO$6:AO$31,MATCH($A10,Mar!$A$6:$A$31,0)),0)+IFERROR(INDEX(Apr!AO$6:AO$31,MATCH($A10,Apr!$A$6:$A$31,0)),0)+IFERROR(INDEX(May!AO$6:AO$31,MATCH($A10,May!$A$6:$A$31,0)),0)+IFERROR(INDEX(Jun!AO$6:AO$31,MATCH($A10,Jun!$A$6:$A$31,0)),0)+IFERROR(INDEX(Jul!AO$6:AO$31,MATCH($A10,Jul!$A$6:$A$31,0)),0)</f>
        <v>0</v>
      </c>
      <c r="R10" s="99" t="str">
        <f>IF(Q10&gt;0, 7-Q10, "")</f>
        <v/>
      </c>
      <c r="S10" s="79">
        <f>C10+E10+G10+I10+K10+M10+O10+Q10</f>
        <v>0</v>
      </c>
    </row>
    <row r="11" spans="1:20" ht="18" customHeight="1" x14ac:dyDescent="0.3">
      <c r="A11" s="42">
        <v>2</v>
      </c>
      <c r="B11" s="76" t="s">
        <v>21</v>
      </c>
      <c r="C11" s="80">
        <f>IFERROR(INDEX(Aug!AH$6:AH$31,MATCH($A11,Aug!$A$6:$A$31,0)),0)+IFERROR(INDEX(Sep!AH$6:AH$31,MATCH($A11,Sep!$A$6:$A$31,0)),0)+IFERROR(INDEX(Oct!AH$6:AH$31,MATCH($A11,Oct!$A$6:$A$31,0)),0)+IFERROR(INDEX(Nov!AH$6:AH$31,MATCH($A11,Nov!$A$6:$A$31,0)),0)+IFERROR(INDEX(Dec!AH$6:AH$31,MATCH($A11,Dec!$A$6:$A$31,0)),0)+IFERROR(INDEX(Jan!AH$6:AH$32,MATCH($A11,Jan!$A$6:$A$32,0)),0)+IFERROR(INDEX(Feb!AH$6:AH$28,MATCH($A11,Feb!$A$6:$A$28,0)),0)+IFERROR(INDEX(Mar!AH$6:AH$31,MATCH($A11,Mar!$A$6:$A$31,0)),0)+IFERROR(INDEX(Apr!AH$6:AH$31,MATCH($A11,Apr!$A$6:$A$31,0)),0)+IFERROR(INDEX(May!AH$6:AH$31,MATCH($A11,May!$A$6:$A$31,0)),0)+IFERROR(INDEX(Jun!AH$6:AH$31,MATCH($A11,Jun!$A$6:$A$31,0)),0)+IFERROR(INDEX(Jul!AH$6:AH$31,MATCH($A11,Jul!$A$6:$A$31,0)),0)</f>
        <v>0</v>
      </c>
      <c r="D11" s="50" t="str">
        <f t="shared" ref="D11:D33" si="0">IF(C11&gt;0, 21-C11, "")</f>
        <v/>
      </c>
      <c r="E11" s="80">
        <f>IFERROR(INDEX(Aug!AI$6:AI$31,MATCH($A11,Aug!$A$6:$A$31,0)),0)+IFERROR(INDEX(Sep!AI$6:AI$31,MATCH($A11,Sep!$A$6:$A$31,0)),0)+IFERROR(INDEX(Oct!AI$6:AI$31,MATCH($A11,Oct!$A$6:$A$31,0)),0)+IFERROR(INDEX(Nov!AI$6:AI$31,MATCH($A11,Nov!$A$6:$A$31,0)),0)+IFERROR(INDEX(Dec!AI$6:AI$31,MATCH($A11,Dec!$A$6:$A$31,0)),0)+IFERROR(INDEX(Jan!AI$6:AI$32,MATCH($A11,Jan!$A$6:$A$32,0)),0)+IFERROR(INDEX(Feb!AI$6:AI$28,MATCH($A11,Feb!$A$6:$A$28,0)),0)+IFERROR(INDEX(Mar!AI$6:AI$31,MATCH($A11,Mar!$A$6:$A$31,0)),0)+IFERROR(INDEX(Apr!AI$6:AI$31,MATCH($A11,Apr!$A$6:$A$31,0)),0)+IFERROR(INDEX(May!AI$6:AI$31,MATCH($A11,May!$A$6:$A$31,0)),0)+IFERROR(INDEX(Jun!AI$6:AI$31,MATCH($A11,Jun!$A$6:$A$31,0)),0)+IFERROR(INDEX(Jul!AI$6:AI$31,MATCH($A11,Jul!$A$6:$A$31,0)),0)</f>
        <v>0</v>
      </c>
      <c r="F11" s="89" t="str">
        <f t="shared" ref="F11:F33" si="1">IF(E11&gt;0, 15-E11, "")</f>
        <v/>
      </c>
      <c r="G11" s="80">
        <f>IFERROR(INDEX(Aug!AJ$6:AJ$31,MATCH($A11,Aug!$A$6:$A$31,0)),0)+IFERROR(INDEX(Sep!AJ$6:AJ$31,MATCH($A11,Sep!$A$6:$A$31,0)),0)+IFERROR(INDEX(Oct!AJ$6:AJ$31,MATCH($A11,Oct!$A$6:$A$31,0)),0)+IFERROR(INDEX(Nov!AJ$6:AJ$31,MATCH($A11,Nov!$A$6:$A$31,0)),0)+IFERROR(INDEX(Dec!AJ$6:AJ$31,MATCH($A11,Dec!$A$6:$A$31,0)),0)+IFERROR(INDEX(Jan!AJ$6:AJ$32,MATCH($A11,Jan!$A$6:$A$32,0)),0)+IFERROR(INDEX(Feb!AJ$6:AJ$28,MATCH($A11,Feb!$A$6:$A$28,0)),0)+IFERROR(INDEX(Mar!AJ$6:AJ$31,MATCH($A11,Mar!$A$6:$A$31,0)),0)+IFERROR(INDEX(Apr!AJ$6:AJ$31,MATCH($A11,Apr!$A$6:$A$31,0)),0)+IFERROR(INDEX(May!AJ$6:AJ$31,MATCH($A11,May!$A$6:$A$31,0)),0)+IFERROR(INDEX(Jun!AJ$6:AJ$31,MATCH($A11,Jun!$A$6:$A$31,0)),0)+IFERROR(INDEX(Jul!AJ$6:AJ$31,MATCH($A11,Jul!$A$6:$A$31,0)),0)</f>
        <v>0</v>
      </c>
      <c r="H11" s="89" t="str">
        <f t="shared" ref="H11:H33" si="2">IF(G11&gt;0, 80-G11, "")</f>
        <v/>
      </c>
      <c r="I11" s="80">
        <f>IFERROR(INDEX(Aug!AK$6:AK$31,MATCH($A11,Aug!$A$6:$A$31,0)),0)+IFERROR(INDEX(Sep!AK$6:AK$31,MATCH($A11,Sep!$A$6:$A$31,0)),0)+IFERROR(INDEX(Oct!AK$6:AK$31,MATCH($A11,Oct!$A$6:$A$31,0)),0)+IFERROR(INDEX(Nov!AK$6:AK$31,MATCH($A11,Nov!$A$6:$A$31,0)),0)+IFERROR(INDEX(Dec!AK$6:AK$31,MATCH($A11,Dec!$A$6:$A$31,0)),0)+IFERROR(INDEX(Jan!AK$6:AK$32,MATCH($A11,Jan!$A$6:$A$32,0)),0)+IFERROR(INDEX(Feb!AK$6:AK$28,MATCH($A11,Feb!$A$6:$A$28,0)),0)+IFERROR(INDEX(Mar!AK$6:AK$31,MATCH($A11,Mar!$A$6:$A$31,0)),0)+IFERROR(INDEX(Apr!AK$6:AK$31,MATCH($A11,Apr!$A$6:$A$31,0)),0)+IFERROR(INDEX(May!AK$6:AK$31,MATCH($A11,May!$A$6:$A$31,0)),0)+IFERROR(INDEX(Jun!AK$6:AK$31,MATCH($A11,Jun!$A$6:$A$31,0)),0)+IFERROR(INDEX(Jul!AK$6:AK$31,MATCH($A11,Jul!$A$6:$A$31,0)),0)</f>
        <v>0</v>
      </c>
      <c r="J11" s="89" t="str">
        <f t="shared" ref="J11:J33" si="3">IF(I11&gt;0, 5-I11, "")</f>
        <v/>
      </c>
      <c r="K11" s="80">
        <f>IFERROR(INDEX(Aug!AL$6:AL$31,MATCH($A11,Aug!$A$6:$A$31,0)),0)+IFERROR(INDEX(Sep!AL$6:AL$31,MATCH($A11,Sep!$A$6:$A$31,0)),0)+IFERROR(INDEX(Oct!AL$6:AL$31,MATCH($A11,Oct!$A$6:$A$31,0)),0)+IFERROR(INDEX(Nov!AL$6:AL$31,MATCH($A11,Nov!$A$6:$A$31,0)),0)+IFERROR(INDEX(Dec!AL$6:AL$31,MATCH($A11,Dec!$A$6:$A$31,0)),0)+IFERROR(INDEX(Jan!AL$6:AL$32,MATCH($A11,Jan!$A$6:$A$32,0)),0)+IFERROR(INDEX(Feb!AL$6:AL$28,MATCH($A11,Feb!$A$6:$A$28,0)),0)+IFERROR(INDEX(Mar!AL$6:AL$31,MATCH($A11,Mar!$A$6:$A$31,0)),0)+IFERROR(INDEX(Apr!AL$6:AL$31,MATCH($A11,Apr!$A$6:$A$31,0)),0)+IFERROR(INDEX(May!AL$6:AL$31,MATCH($A11,May!$A$6:$A$31,0)),0)+IFERROR(INDEX(Jun!AL$6:AL$31,MATCH($A11,Jun!$A$6:$A$31,0)),0)+IFERROR(INDEX(Jul!AL$6:AL$31,MATCH($A11,Jul!$A$6:$A$31,0)),0)</f>
        <v>0</v>
      </c>
      <c r="L11" s="89" t="str">
        <f t="shared" ref="L11:L33" si="4">IF(K11&gt;0, 5-K11, "")</f>
        <v/>
      </c>
      <c r="M11" s="80">
        <f>IFERROR(INDEX(Aug!AM$6:AM$31,MATCH($A11,Aug!$A$6:$A$31,0)),0)+IFERROR(INDEX(Sep!AM$6:AM$31,MATCH($A11,Sep!$A$6:$A$31,0)),0)+IFERROR(INDEX(Oct!AM$6:AM$31,MATCH($A11,Oct!$A$6:$A$31,0)),0)+IFERROR(INDEX(Nov!AM$6:AM$31,MATCH($A11,Nov!$A$6:$A$31,0)),0)+IFERROR(INDEX(Dec!AM$6:AM$31,MATCH($A11,Dec!$A$6:$A$31,0)),0)+IFERROR(INDEX(Jan!AM$6:AM$32,MATCH($A11,Jan!$A$6:$A$32,0)),0)+IFERROR(INDEX(Feb!AM$6:AM$28,MATCH($A11,Feb!$A$6:$A$28,0)),0)+IFERROR(INDEX(Mar!AM$6:AM$31,MATCH($A11,Mar!$A$6:$A$31,0)),0)+IFERROR(INDEX(Apr!AM$6:AM$31,MATCH($A11,Apr!$A$6:$A$31,0)),0)+IFERROR(INDEX(May!AM$6:AM$31,MATCH($A11,May!$A$6:$A$31,0)),0)+IFERROR(INDEX(Jun!AM$6:AM$31,MATCH($A11,Jun!$A$6:$A$31,0)),0)+IFERROR(INDEX(Jul!AM$6:AM$31,MATCH($A11,Jul!$A$6:$A$31,0)),0)</f>
        <v>0</v>
      </c>
      <c r="N11" s="89" t="str">
        <f t="shared" ref="N11:N33" si="5">IF(M11&gt;0, 5-M11, "")</f>
        <v/>
      </c>
      <c r="O11" s="80">
        <f>IFERROR(INDEX(Aug!AN$6:AN$31,MATCH($A11,Aug!$A$6:$A$31,0)),0)+IFERROR(INDEX(Sep!AN$6:AN$31,MATCH($A11,Sep!$A$6:$A$31,0)),0)+IFERROR(INDEX(Oct!AN$6:AN$31,MATCH($A11,Oct!$A$6:$A$31,0)),0)+IFERROR(INDEX(Nov!AN$6:AN$31,MATCH($A11,Nov!$A$6:$A$31,0)),0)+IFERROR(INDEX(Dec!AN$6:AN$31,MATCH($A11,Dec!$A$6:$A$31,0)),0)+IFERROR(INDEX(Jan!AN$6:AN$32,MATCH($A11,Jan!$A$6:$A$32,0)),0)+IFERROR(INDEX(Feb!AN$6:AN$28,MATCH($A11,Feb!$A$6:$A$28,0)),0)+IFERROR(INDEX(Mar!AN$6:AN$31,MATCH($A11,Mar!$A$6:$A$31,0)),0)+IFERROR(INDEX(Apr!AN$6:AN$31,MATCH($A11,Apr!$A$6:$A$31,0)),0)+IFERROR(INDEX(May!AN$6:AN$31,MATCH($A11,May!$A$6:$A$31,0)),0)+IFERROR(INDEX(Jun!AN$6:AN$31,MATCH($A11,Jun!$A$6:$A$31,0)),0)+IFERROR(INDEX(Jul!AN$6:AN$31,MATCH($A11,Jul!$A$6:$A$31,0)),0)</f>
        <v>0</v>
      </c>
      <c r="P11" s="50" t="str">
        <f t="shared" ref="P11:P33" si="6">IF(O11&gt;0, 5-O11, "")</f>
        <v/>
      </c>
      <c r="Q11" s="100">
        <f>IFERROR(INDEX(Aug!AO$6:AO$31,MATCH($A11,Aug!$A$6:$A$31,0)),0)+IFERROR(INDEX(Sep!AO$6:AO$31,MATCH($A11,Sep!$A$6:$A$31,0)),0)+IFERROR(INDEX(Oct!AO$6:AO$31,MATCH($A11,Oct!$A$6:$A$31,0)),0)+IFERROR(INDEX(Nov!AO$6:AO$31,MATCH($A11,Nov!$A$6:$A$31,0)),0)+IFERROR(INDEX(Dec!AO$6:AO$31,MATCH($A11,Dec!$A$6:$A$31,0)),0)+IFERROR(INDEX(Jan!AO$6:AO$32,MATCH($A11,Jan!$A$6:$A$32,0)),0)+IFERROR(INDEX(Feb!AO$6:AO$28,MATCH($A11,Feb!$A$6:$A$28,0)),0)+IFERROR(INDEX(Mar!AO$6:AO$31,MATCH($A11,Mar!$A$6:$A$31,0)),0)+IFERROR(INDEX(Apr!AO$6:AO$31,MATCH($A11,Apr!$A$6:$A$31,0)),0)+IFERROR(INDEX(May!AO$6:AO$31,MATCH($A11,May!$A$6:$A$31,0)),0)+IFERROR(INDEX(Jun!AO$6:AO$31,MATCH($A11,Jun!$A$6:$A$31,0)),0)+IFERROR(INDEX(Jul!AO$6:AO$31,MATCH($A11,Jul!$A$6:$A$31,0)),0)</f>
        <v>0</v>
      </c>
      <c r="R11" s="101" t="str">
        <f t="shared" ref="R11:R33" si="7">IF(Q11&gt;0, 7-Q11, "")</f>
        <v/>
      </c>
      <c r="S11" s="81">
        <f>C11+E11+G11+I11+K11+M11+O11+Q11</f>
        <v>0</v>
      </c>
      <c r="T11" s="22" t="s">
        <v>22</v>
      </c>
    </row>
    <row r="12" spans="1:20" ht="18" customHeight="1" x14ac:dyDescent="0.25">
      <c r="A12" s="42">
        <v>3</v>
      </c>
      <c r="B12" s="76" t="s">
        <v>23</v>
      </c>
      <c r="C12" s="80">
        <f>IFERROR(INDEX(Aug!AH$6:AH$31,MATCH($A12,Aug!$A$6:$A$31,0)),0)+IFERROR(INDEX(Sep!AH$6:AH$31,MATCH($A12,Sep!$A$6:$A$31,0)),0)+IFERROR(INDEX(Oct!AH$6:AH$31,MATCH($A12,Oct!$A$6:$A$31,0)),0)+IFERROR(INDEX(Nov!AH$6:AH$31,MATCH($A12,Nov!$A$6:$A$31,0)),0)+IFERROR(INDEX(Dec!AH$6:AH$31,MATCH($A12,Dec!$A$6:$A$31,0)),0)+IFERROR(INDEX(Jan!AH$6:AH$32,MATCH($A12,Jan!$A$6:$A$32,0)),0)+IFERROR(INDEX(Feb!AH$6:AH$28,MATCH($A12,Feb!$A$6:$A$28,0)),0)+IFERROR(INDEX(Mar!AH$6:AH$31,MATCH($A12,Mar!$A$6:$A$31,0)),0)+IFERROR(INDEX(Apr!AH$6:AH$31,MATCH($A12,Apr!$A$6:$A$31,0)),0)+IFERROR(INDEX(May!AH$6:AH$31,MATCH($A12,May!$A$6:$A$31,0)),0)+IFERROR(INDEX(Jun!AH$6:AH$31,MATCH($A12,Jun!$A$6:$A$31,0)),0)+IFERROR(INDEX(Jul!AH$6:AH$31,MATCH($A12,Jul!$A$6:$A$31,0)),0)</f>
        <v>0</v>
      </c>
      <c r="D12" s="50" t="str">
        <f t="shared" si="0"/>
        <v/>
      </c>
      <c r="E12" s="80">
        <f>IFERROR(INDEX(Aug!AI$6:AI$31,MATCH($A12,Aug!$A$6:$A$31,0)),0)+IFERROR(INDEX(Sep!AI$6:AI$31,MATCH($A12,Sep!$A$6:$A$31,0)),0)+IFERROR(INDEX(Oct!AI$6:AI$31,MATCH($A12,Oct!$A$6:$A$31,0)),0)+IFERROR(INDEX(Nov!AI$6:AI$31,MATCH($A12,Nov!$A$6:$A$31,0)),0)+IFERROR(INDEX(Dec!AI$6:AI$31,MATCH($A12,Dec!$A$6:$A$31,0)),0)+IFERROR(INDEX(Jan!AI$6:AI$32,MATCH($A12,Jan!$A$6:$A$32,0)),0)+IFERROR(INDEX(Feb!AI$6:AI$28,MATCH($A12,Feb!$A$6:$A$28,0)),0)+IFERROR(INDEX(Mar!AI$6:AI$31,MATCH($A12,Mar!$A$6:$A$31,0)),0)+IFERROR(INDEX(Apr!AI$6:AI$31,MATCH($A12,Apr!$A$6:$A$31,0)),0)+IFERROR(INDEX(May!AI$6:AI$31,MATCH($A12,May!$A$6:$A$31,0)),0)+IFERROR(INDEX(Jun!AI$6:AI$31,MATCH($A12,Jun!$A$6:$A$31,0)),0)+IFERROR(INDEX(Jul!AI$6:AI$31,MATCH($A12,Jul!$A$6:$A$31,0)),0)</f>
        <v>0</v>
      </c>
      <c r="F12" s="89" t="str">
        <f t="shared" si="1"/>
        <v/>
      </c>
      <c r="G12" s="80">
        <f>IFERROR(INDEX(Aug!AJ$6:AJ$31,MATCH($A12,Aug!$A$6:$A$31,0)),0)+IFERROR(INDEX(Sep!AJ$6:AJ$31,MATCH($A12,Sep!$A$6:$A$31,0)),0)+IFERROR(INDEX(Oct!AJ$6:AJ$31,MATCH($A12,Oct!$A$6:$A$31,0)),0)+IFERROR(INDEX(Nov!AJ$6:AJ$31,MATCH($A12,Nov!$A$6:$A$31,0)),0)+IFERROR(INDEX(Dec!AJ$6:AJ$31,MATCH($A12,Dec!$A$6:$A$31,0)),0)+IFERROR(INDEX(Jan!AJ$6:AJ$32,MATCH($A12,Jan!$A$6:$A$32,0)),0)+IFERROR(INDEX(Feb!AJ$6:AJ$28,MATCH($A12,Feb!$A$6:$A$28,0)),0)+IFERROR(INDEX(Mar!AJ$6:AJ$31,MATCH($A12,Mar!$A$6:$A$31,0)),0)+IFERROR(INDEX(Apr!AJ$6:AJ$31,MATCH($A12,Apr!$A$6:$A$31,0)),0)+IFERROR(INDEX(May!AJ$6:AJ$31,MATCH($A12,May!$A$6:$A$31,0)),0)+IFERROR(INDEX(Jun!AJ$6:AJ$31,MATCH($A12,Jun!$A$6:$A$31,0)),0)+IFERROR(INDEX(Jul!AJ$6:AJ$31,MATCH($A12,Jul!$A$6:$A$31,0)),0)</f>
        <v>0</v>
      </c>
      <c r="H12" s="89" t="str">
        <f t="shared" si="2"/>
        <v/>
      </c>
      <c r="I12" s="80">
        <f>IFERROR(INDEX(Aug!AK$6:AK$31,MATCH($A12,Aug!$A$6:$A$31,0)),0)+IFERROR(INDEX(Sep!AK$6:AK$31,MATCH($A12,Sep!$A$6:$A$31,0)),0)+IFERROR(INDEX(Oct!AK$6:AK$31,MATCH($A12,Oct!$A$6:$A$31,0)),0)+IFERROR(INDEX(Nov!AK$6:AK$31,MATCH($A12,Nov!$A$6:$A$31,0)),0)+IFERROR(INDEX(Dec!AK$6:AK$31,MATCH($A12,Dec!$A$6:$A$31,0)),0)+IFERROR(INDEX(Jan!AK$6:AK$32,MATCH($A12,Jan!$A$6:$A$32,0)),0)+IFERROR(INDEX(Feb!AK$6:AK$28,MATCH($A12,Feb!$A$6:$A$28,0)),0)+IFERROR(INDEX(Mar!AK$6:AK$31,MATCH($A12,Mar!$A$6:$A$31,0)),0)+IFERROR(INDEX(Apr!AK$6:AK$31,MATCH($A12,Apr!$A$6:$A$31,0)),0)+IFERROR(INDEX(May!AK$6:AK$31,MATCH($A12,May!$A$6:$A$31,0)),0)+IFERROR(INDEX(Jun!AK$6:AK$31,MATCH($A12,Jun!$A$6:$A$31,0)),0)+IFERROR(INDEX(Jul!AK$6:AK$31,MATCH($A12,Jul!$A$6:$A$31,0)),0)</f>
        <v>0</v>
      </c>
      <c r="J12" s="89" t="str">
        <f t="shared" si="3"/>
        <v/>
      </c>
      <c r="K12" s="80">
        <f>IFERROR(INDEX(Aug!AL$6:AL$31,MATCH($A12,Aug!$A$6:$A$31,0)),0)+IFERROR(INDEX(Sep!AL$6:AL$31,MATCH($A12,Sep!$A$6:$A$31,0)),0)+IFERROR(INDEX(Oct!AL$6:AL$31,MATCH($A12,Oct!$A$6:$A$31,0)),0)+IFERROR(INDEX(Nov!AL$6:AL$31,MATCH($A12,Nov!$A$6:$A$31,0)),0)+IFERROR(INDEX(Dec!AL$6:AL$31,MATCH($A12,Dec!$A$6:$A$31,0)),0)+IFERROR(INDEX(Jan!AL$6:AL$32,MATCH($A12,Jan!$A$6:$A$32,0)),0)+IFERROR(INDEX(Feb!AL$6:AL$28,MATCH($A12,Feb!$A$6:$A$28,0)),0)+IFERROR(INDEX(Mar!AL$6:AL$31,MATCH($A12,Mar!$A$6:$A$31,0)),0)+IFERROR(INDEX(Apr!AL$6:AL$31,MATCH($A12,Apr!$A$6:$A$31,0)),0)+IFERROR(INDEX(May!AL$6:AL$31,MATCH($A12,May!$A$6:$A$31,0)),0)+IFERROR(INDEX(Jun!AL$6:AL$31,MATCH($A12,Jun!$A$6:$A$31,0)),0)+IFERROR(INDEX(Jul!AL$6:AL$31,MATCH($A12,Jul!$A$6:$A$31,0)),0)</f>
        <v>0</v>
      </c>
      <c r="L12" s="89" t="str">
        <f t="shared" si="4"/>
        <v/>
      </c>
      <c r="M12" s="80">
        <f>IFERROR(INDEX(Aug!AM$6:AM$31,MATCH($A12,Aug!$A$6:$A$31,0)),0)+IFERROR(INDEX(Sep!AM$6:AM$31,MATCH($A12,Sep!$A$6:$A$31,0)),0)+IFERROR(INDEX(Oct!AM$6:AM$31,MATCH($A12,Oct!$A$6:$A$31,0)),0)+IFERROR(INDEX(Nov!AM$6:AM$31,MATCH($A12,Nov!$A$6:$A$31,0)),0)+IFERROR(INDEX(Dec!AM$6:AM$31,MATCH($A12,Dec!$A$6:$A$31,0)),0)+IFERROR(INDEX(Jan!AM$6:AM$32,MATCH($A12,Jan!$A$6:$A$32,0)),0)+IFERROR(INDEX(Feb!AM$6:AM$28,MATCH($A12,Feb!$A$6:$A$28,0)),0)+IFERROR(INDEX(Mar!AM$6:AM$31,MATCH($A12,Mar!$A$6:$A$31,0)),0)+IFERROR(INDEX(Apr!AM$6:AM$31,MATCH($A12,Apr!$A$6:$A$31,0)),0)+IFERROR(INDEX(May!AM$6:AM$31,MATCH($A12,May!$A$6:$A$31,0)),0)+IFERROR(INDEX(Jun!AM$6:AM$31,MATCH($A12,Jun!$A$6:$A$31,0)),0)+IFERROR(INDEX(Jul!AM$6:AM$31,MATCH($A12,Jul!$A$6:$A$31,0)),0)</f>
        <v>0</v>
      </c>
      <c r="N12" s="89" t="str">
        <f t="shared" si="5"/>
        <v/>
      </c>
      <c r="O12" s="80">
        <f>IFERROR(INDEX(Aug!AN$6:AN$31,MATCH($A12,Aug!$A$6:$A$31,0)),0)+IFERROR(INDEX(Sep!AN$6:AN$31,MATCH($A12,Sep!$A$6:$A$31,0)),0)+IFERROR(INDEX(Oct!AN$6:AN$31,MATCH($A12,Oct!$A$6:$A$31,0)),0)+IFERROR(INDEX(Nov!AN$6:AN$31,MATCH($A12,Nov!$A$6:$A$31,0)),0)+IFERROR(INDEX(Dec!AN$6:AN$31,MATCH($A12,Dec!$A$6:$A$31,0)),0)+IFERROR(INDEX(Jan!AN$6:AN$32,MATCH($A12,Jan!$A$6:$A$32,0)),0)+IFERROR(INDEX(Feb!AN$6:AN$28,MATCH($A12,Feb!$A$6:$A$28,0)),0)+IFERROR(INDEX(Mar!AN$6:AN$31,MATCH($A12,Mar!$A$6:$A$31,0)),0)+IFERROR(INDEX(Apr!AN$6:AN$31,MATCH($A12,Apr!$A$6:$A$31,0)),0)+IFERROR(INDEX(May!AN$6:AN$31,MATCH($A12,May!$A$6:$A$31,0)),0)+IFERROR(INDEX(Jun!AN$6:AN$31,MATCH($A12,Jun!$A$6:$A$31,0)),0)+IFERROR(INDEX(Jul!AN$6:AN$31,MATCH($A12,Jul!$A$6:$A$31,0)),0)</f>
        <v>0</v>
      </c>
      <c r="P12" s="50" t="str">
        <f t="shared" si="6"/>
        <v/>
      </c>
      <c r="Q12" s="100">
        <f>IFERROR(INDEX(Aug!AO$6:AO$31,MATCH($A12,Aug!$A$6:$A$31,0)),0)+IFERROR(INDEX(Sep!AO$6:AO$31,MATCH($A12,Sep!$A$6:$A$31,0)),0)+IFERROR(INDEX(Oct!AO$6:AO$31,MATCH($A12,Oct!$A$6:$A$31,0)),0)+IFERROR(INDEX(Nov!AO$6:AO$31,MATCH($A12,Nov!$A$6:$A$31,0)),0)+IFERROR(INDEX(Dec!AO$6:AO$31,MATCH($A12,Dec!$A$6:$A$31,0)),0)+IFERROR(INDEX(Jan!AO$6:AO$32,MATCH($A12,Jan!$A$6:$A$32,0)),0)+IFERROR(INDEX(Feb!AO$6:AO$28,MATCH($A12,Feb!$A$6:$A$28,0)),0)+IFERROR(INDEX(Mar!AO$6:AO$31,MATCH($A12,Mar!$A$6:$A$31,0)),0)+IFERROR(INDEX(Apr!AO$6:AO$31,MATCH($A12,Apr!$A$6:$A$31,0)),0)+IFERROR(INDEX(May!AO$6:AO$31,MATCH($A12,May!$A$6:$A$31,0)),0)+IFERROR(INDEX(Jun!AO$6:AO$31,MATCH($A12,Jun!$A$6:$A$31,0)),0)+IFERROR(INDEX(Jul!AO$6:AO$31,MATCH($A12,Jul!$A$6:$A$31,0)),0)</f>
        <v>0</v>
      </c>
      <c r="R12" s="101" t="str">
        <f t="shared" si="7"/>
        <v/>
      </c>
      <c r="S12" s="81">
        <f>C12+E12+G12+I12+K12+M12+O12+Q12</f>
        <v>0</v>
      </c>
    </row>
    <row r="13" spans="1:20" ht="18" customHeight="1" x14ac:dyDescent="0.3">
      <c r="A13" s="42">
        <v>4</v>
      </c>
      <c r="B13" s="76" t="s">
        <v>24</v>
      </c>
      <c r="C13" s="80">
        <f>IFERROR(INDEX(Aug!AH$6:AH$31,MATCH($A13,Aug!$A$6:$A$31,0)),0)+IFERROR(INDEX(Sep!AH$6:AH$31,MATCH($A13,Sep!$A$6:$A$31,0)),0)+IFERROR(INDEX(Oct!AH$6:AH$31,MATCH($A13,Oct!$A$6:$A$31,0)),0)+IFERROR(INDEX(Nov!AH$6:AH$31,MATCH($A13,Nov!$A$6:$A$31,0)),0)+IFERROR(INDEX(Dec!AH$6:AH$31,MATCH($A13,Dec!$A$6:$A$31,0)),0)+IFERROR(INDEX(Jan!AH$6:AH$32,MATCH($A13,Jan!$A$6:$A$32,0)),0)+IFERROR(INDEX(Feb!AH$6:AH$28,MATCH($A13,Feb!$A$6:$A$28,0)),0)+IFERROR(INDEX(Mar!AH$6:AH$31,MATCH($A13,Mar!$A$6:$A$31,0)),0)+IFERROR(INDEX(Apr!AH$6:AH$31,MATCH($A13,Apr!$A$6:$A$31,0)),0)+IFERROR(INDEX(May!AH$6:AH$31,MATCH($A13,May!$A$6:$A$31,0)),0)+IFERROR(INDEX(Jun!AH$6:AH$31,MATCH($A13,Jun!$A$6:$A$31,0)),0)+IFERROR(INDEX(Jul!AH$6:AH$31,MATCH($A13,Jul!$A$6:$A$31,0)),0)</f>
        <v>0</v>
      </c>
      <c r="D13" s="50" t="str">
        <f>IF(C13&gt;0, 13-C13, "")</f>
        <v/>
      </c>
      <c r="E13" s="80">
        <f>IFERROR(INDEX(Aug!AI$6:AI$31,MATCH($A13,Aug!$A$6:$A$31,0)),0)+IFERROR(INDEX(Sep!AI$6:AI$31,MATCH($A13,Sep!$A$6:$A$31,0)),0)+IFERROR(INDEX(Oct!AI$6:AI$31,MATCH($A13,Oct!$A$6:$A$31,0)),0)+IFERROR(INDEX(Nov!AI$6:AI$31,MATCH($A13,Nov!$A$6:$A$31,0)),0)+IFERROR(INDEX(Dec!AI$6:AI$31,MATCH($A13,Dec!$A$6:$A$31,0)),0)+IFERROR(INDEX(Jan!AI$6:AI$32,MATCH($A13,Jan!$A$6:$A$32,0)),0)+IFERROR(INDEX(Feb!AI$6:AI$28,MATCH($A13,Feb!$A$6:$A$28,0)),0)+IFERROR(INDEX(Mar!AI$6:AI$31,MATCH($A13,Mar!$A$6:$A$31,0)),0)+IFERROR(INDEX(Apr!AI$6:AI$31,MATCH($A13,Apr!$A$6:$A$31,0)),0)+IFERROR(INDEX(May!AI$6:AI$31,MATCH($A13,May!$A$6:$A$31,0)),0)+IFERROR(INDEX(Jun!AI$6:AI$31,MATCH($A13,Jun!$A$6:$A$31,0)),0)+IFERROR(INDEX(Jul!AI$6:AI$31,MATCH($A13,Jul!$A$6:$A$31,0)),0)</f>
        <v>0</v>
      </c>
      <c r="F13" s="89" t="str">
        <f>IF(E13&gt;0, 9-E13, "")</f>
        <v/>
      </c>
      <c r="G13" s="80">
        <f>IFERROR(INDEX(Aug!AJ$6:AJ$31,MATCH($A13,Aug!$A$6:$A$31,0)),0)+IFERROR(INDEX(Sep!AJ$6:AJ$31,MATCH($A13,Sep!$A$6:$A$31,0)),0)+IFERROR(INDEX(Oct!AJ$6:AJ$31,MATCH($A13,Oct!$A$6:$A$31,0)),0)+IFERROR(INDEX(Nov!AJ$6:AJ$31,MATCH($A13,Nov!$A$6:$A$31,0)),0)+IFERROR(INDEX(Dec!AJ$6:AJ$31,MATCH($A13,Dec!$A$6:$A$31,0)),0)+IFERROR(INDEX(Jan!AJ$6:AJ$32,MATCH($A13,Jan!$A$6:$A$32,0)),0)+IFERROR(INDEX(Feb!AJ$6:AJ$28,MATCH($A13,Feb!$A$6:$A$28,0)),0)+IFERROR(INDEX(Mar!AJ$6:AJ$31,MATCH($A13,Mar!$A$6:$A$31,0)),0)+IFERROR(INDEX(Apr!AJ$6:AJ$31,MATCH($A13,Apr!$A$6:$A$31,0)),0)+IFERROR(INDEX(May!AJ$6:AJ$31,MATCH($A13,May!$A$6:$A$31,0)),0)+IFERROR(INDEX(Jun!AJ$6:AJ$31,MATCH($A13,Jun!$A$6:$A$31,0)),0)+IFERROR(INDEX(Jul!AJ$6:AJ$31,MATCH($A13,Jul!$A$6:$A$31,0)),0)</f>
        <v>0</v>
      </c>
      <c r="H13" s="89" t="str">
        <f>IF(G13&gt;0, 50-G13, "")</f>
        <v/>
      </c>
      <c r="I13" s="80">
        <f>IFERROR(INDEX(Aug!AK$6:AK$31,MATCH($A13,Aug!$A$6:$A$31,0)),0)+IFERROR(INDEX(Sep!AK$6:AK$31,MATCH($A13,Sep!$A$6:$A$31,0)),0)+IFERROR(INDEX(Oct!AK$6:AK$31,MATCH($A13,Oct!$A$6:$A$31,0)),0)+IFERROR(INDEX(Nov!AK$6:AK$31,MATCH($A13,Nov!$A$6:$A$31,0)),0)+IFERROR(INDEX(Dec!AK$6:AK$31,MATCH($A13,Dec!$A$6:$A$31,0)),0)+IFERROR(INDEX(Jan!AK$6:AK$32,MATCH($A13,Jan!$A$6:$A$32,0)),0)+IFERROR(INDEX(Feb!AK$6:AK$28,MATCH($A13,Feb!$A$6:$A$28,0)),0)+IFERROR(INDEX(Mar!AK$6:AK$31,MATCH($A13,Mar!$A$6:$A$31,0)),0)+IFERROR(INDEX(Apr!AK$6:AK$31,MATCH($A13,Apr!$A$6:$A$31,0)),0)+IFERROR(INDEX(May!AK$6:AK$31,MATCH($A13,May!$A$6:$A$31,0)),0)+IFERROR(INDEX(Jun!AK$6:AK$31,MATCH($A13,Jun!$A$6:$A$31,0)),0)+IFERROR(INDEX(Jul!AK$6:AK$31,MATCH($A13,Jul!$A$6:$A$31,0)),0)</f>
        <v>0</v>
      </c>
      <c r="J13" s="89" t="str">
        <f t="shared" si="3"/>
        <v/>
      </c>
      <c r="K13" s="80">
        <f>IFERROR(INDEX(Aug!AL$6:AL$31,MATCH($A13,Aug!$A$6:$A$31,0)),0)+IFERROR(INDEX(Sep!AL$6:AL$31,MATCH($A13,Sep!$A$6:$A$31,0)),0)+IFERROR(INDEX(Oct!AL$6:AL$31,MATCH($A13,Oct!$A$6:$A$31,0)),0)+IFERROR(INDEX(Nov!AL$6:AL$31,MATCH($A13,Nov!$A$6:$A$31,0)),0)+IFERROR(INDEX(Dec!AL$6:AL$31,MATCH($A13,Dec!$A$6:$A$31,0)),0)+IFERROR(INDEX(Jan!AL$6:AL$32,MATCH($A13,Jan!$A$6:$A$32,0)),0)+IFERROR(INDEX(Feb!AL$6:AL$28,MATCH($A13,Feb!$A$6:$A$28,0)),0)+IFERROR(INDEX(Mar!AL$6:AL$31,MATCH($A13,Mar!$A$6:$A$31,0)),0)+IFERROR(INDEX(Apr!AL$6:AL$31,MATCH($A13,Apr!$A$6:$A$31,0)),0)+IFERROR(INDEX(May!AL$6:AL$31,MATCH($A13,May!$A$6:$A$31,0)),0)+IFERROR(INDEX(Jun!AL$6:AL$31,MATCH($A13,Jun!$A$6:$A$31,0)),0)+IFERROR(INDEX(Jul!AL$6:AL$31,MATCH($A13,Jul!$A$6:$A$31,0)),0)</f>
        <v>0</v>
      </c>
      <c r="L13" s="89" t="str">
        <f t="shared" si="4"/>
        <v/>
      </c>
      <c r="M13" s="80">
        <f>IFERROR(INDEX(Aug!AM$6:AM$31,MATCH($A13,Aug!$A$6:$A$31,0)),0)+IFERROR(INDEX(Sep!AM$6:AM$31,MATCH($A13,Sep!$A$6:$A$31,0)),0)+IFERROR(INDEX(Oct!AM$6:AM$31,MATCH($A13,Oct!$A$6:$A$31,0)),0)+IFERROR(INDEX(Nov!AM$6:AM$31,MATCH($A13,Nov!$A$6:$A$31,0)),0)+IFERROR(INDEX(Dec!AM$6:AM$31,MATCH($A13,Dec!$A$6:$A$31,0)),0)+IFERROR(INDEX(Jan!AM$6:AM$32,MATCH($A13,Jan!$A$6:$A$32,0)),0)+IFERROR(INDEX(Feb!AM$6:AM$28,MATCH($A13,Feb!$A$6:$A$28,0)),0)+IFERROR(INDEX(Mar!AM$6:AM$31,MATCH($A13,Mar!$A$6:$A$31,0)),0)+IFERROR(INDEX(Apr!AM$6:AM$31,MATCH($A13,Apr!$A$6:$A$31,0)),0)+IFERROR(INDEX(May!AM$6:AM$31,MATCH($A13,May!$A$6:$A$31,0)),0)+IFERROR(INDEX(Jun!AM$6:AM$31,MATCH($A13,Jun!$A$6:$A$31,0)),0)+IFERROR(INDEX(Jul!AM$6:AM$31,MATCH($A13,Jul!$A$6:$A$31,0)),0)</f>
        <v>0</v>
      </c>
      <c r="N13" s="89" t="str">
        <f t="shared" si="5"/>
        <v/>
      </c>
      <c r="O13" s="80">
        <f>IFERROR(INDEX(Aug!AN$6:AN$31,MATCH($A13,Aug!$A$6:$A$31,0)),0)+IFERROR(INDEX(Sep!AN$6:AN$31,MATCH($A13,Sep!$A$6:$A$31,0)),0)+IFERROR(INDEX(Oct!AN$6:AN$31,MATCH($A13,Oct!$A$6:$A$31,0)),0)+IFERROR(INDEX(Nov!AN$6:AN$31,MATCH($A13,Nov!$A$6:$A$31,0)),0)+IFERROR(INDEX(Dec!AN$6:AN$31,MATCH($A13,Dec!$A$6:$A$31,0)),0)+IFERROR(INDEX(Jan!AN$6:AN$32,MATCH($A13,Jan!$A$6:$A$32,0)),0)+IFERROR(INDEX(Feb!AN$6:AN$28,MATCH($A13,Feb!$A$6:$A$28,0)),0)+IFERROR(INDEX(Mar!AN$6:AN$31,MATCH($A13,Mar!$A$6:$A$31,0)),0)+IFERROR(INDEX(Apr!AN$6:AN$31,MATCH($A13,Apr!$A$6:$A$31,0)),0)+IFERROR(INDEX(May!AN$6:AN$31,MATCH($A13,May!$A$6:$A$31,0)),0)+IFERROR(INDEX(Jun!AN$6:AN$31,MATCH($A13,Jun!$A$6:$A$31,0)),0)+IFERROR(INDEX(Jul!AN$6:AN$31,MATCH($A13,Jul!$A$6:$A$31,0)),0)</f>
        <v>0</v>
      </c>
      <c r="P13" s="50" t="str">
        <f t="shared" si="6"/>
        <v/>
      </c>
      <c r="Q13" s="100">
        <f>IFERROR(INDEX(Aug!AO$6:AO$31,MATCH($A13,Aug!$A$6:$A$31,0)),0)+IFERROR(INDEX(Sep!AO$6:AO$31,MATCH($A13,Sep!$A$6:$A$31,0)),0)+IFERROR(INDEX(Oct!AO$6:AO$31,MATCH($A13,Oct!$A$6:$A$31,0)),0)+IFERROR(INDEX(Nov!AO$6:AO$31,MATCH($A13,Nov!$A$6:$A$31,0)),0)+IFERROR(INDEX(Dec!AO$6:AO$31,MATCH($A13,Dec!$A$6:$A$31,0)),0)+IFERROR(INDEX(Jan!AO$6:AO$32,MATCH($A13,Jan!$A$6:$A$32,0)),0)+IFERROR(INDEX(Feb!AO$6:AO$28,MATCH($A13,Feb!$A$6:$A$28,0)),0)+IFERROR(INDEX(Mar!AO$6:AO$31,MATCH($A13,Mar!$A$6:$A$31,0)),0)+IFERROR(INDEX(Apr!AO$6:AO$31,MATCH($A13,Apr!$A$6:$A$31,0)),0)+IFERROR(INDEX(May!AO$6:AO$31,MATCH($A13,May!$A$6:$A$31,0)),0)+IFERROR(INDEX(Jun!AO$6:AO$31,MATCH($A13,Jun!$A$6:$A$31,0)),0)+IFERROR(INDEX(Jul!AO$6:AO$31,MATCH($A13,Jul!$A$6:$A$31,0)),0)</f>
        <v>0</v>
      </c>
      <c r="R13" s="101" t="str">
        <f>IF(Q13&gt;0, 4-Q13, "")</f>
        <v/>
      </c>
      <c r="S13" s="81">
        <f>C13+E13+G13+I13+K13+M13+O13+Q13</f>
        <v>0</v>
      </c>
      <c r="T13" s="22" t="s">
        <v>25</v>
      </c>
    </row>
    <row r="14" spans="1:20" ht="18" customHeight="1" x14ac:dyDescent="0.25">
      <c r="A14" s="42">
        <v>5</v>
      </c>
      <c r="B14" s="76" t="s">
        <v>26</v>
      </c>
      <c r="C14" s="80">
        <f>IFERROR(INDEX(Aug!AH$6:AH$31,MATCH($A14,Aug!$A$6:$A$31,0)),0)+IFERROR(INDEX(Sep!AH$6:AH$31,MATCH($A14,Sep!$A$6:$A$31,0)),0)+IFERROR(INDEX(Oct!AH$6:AH$31,MATCH($A14,Oct!$A$6:$A$31,0)),0)+IFERROR(INDEX(Nov!AH$6:AH$31,MATCH($A14,Nov!$A$6:$A$31,0)),0)+IFERROR(INDEX(Dec!AH$6:AH$31,MATCH($A14,Dec!$A$6:$A$31,0)),0)+IFERROR(INDEX(Jan!AH$6:AH$32,MATCH($A14,Jan!$A$6:$A$32,0)),0)+IFERROR(INDEX(Feb!AH$6:AH$28,MATCH($A14,Feb!$A$6:$A$28,0)),0)+IFERROR(INDEX(Mar!AH$6:AH$31,MATCH($A14,Mar!$A$6:$A$31,0)),0)+IFERROR(INDEX(Apr!AH$6:AH$31,MATCH($A14,Apr!$A$6:$A$31,0)),0)+IFERROR(INDEX(May!AH$6:AH$31,MATCH($A14,May!$A$6:$A$31,0)),0)+IFERROR(INDEX(Jun!AH$6:AH$31,MATCH($A14,Jun!$A$6:$A$31,0)),0)+IFERROR(INDEX(Jul!AH$6:AH$31,MATCH($A14,Jul!$A$6:$A$31,0)),0)</f>
        <v>0</v>
      </c>
      <c r="D14" s="50" t="str">
        <f t="shared" si="0"/>
        <v/>
      </c>
      <c r="E14" s="80">
        <f>IFERROR(INDEX(Aug!AI$6:AI$31,MATCH($A14,Aug!$A$6:$A$31,0)),0)+IFERROR(INDEX(Sep!AI$6:AI$31,MATCH($A14,Sep!$A$6:$A$31,0)),0)+IFERROR(INDEX(Oct!AI$6:AI$31,MATCH($A14,Oct!$A$6:$A$31,0)),0)+IFERROR(INDEX(Nov!AI$6:AI$31,MATCH($A14,Nov!$A$6:$A$31,0)),0)+IFERROR(INDEX(Dec!AI$6:AI$31,MATCH($A14,Dec!$A$6:$A$31,0)),0)+IFERROR(INDEX(Jan!AI$6:AI$32,MATCH($A14,Jan!$A$6:$A$32,0)),0)+IFERROR(INDEX(Feb!AI$6:AI$28,MATCH($A14,Feb!$A$6:$A$28,0)),0)+IFERROR(INDEX(Mar!AI$6:AI$31,MATCH($A14,Mar!$A$6:$A$31,0)),0)+IFERROR(INDEX(Apr!AI$6:AI$31,MATCH($A14,Apr!$A$6:$A$31,0)),0)+IFERROR(INDEX(May!AI$6:AI$31,MATCH($A14,May!$A$6:$A$31,0)),0)+IFERROR(INDEX(Jun!AI$6:AI$31,MATCH($A14,Jun!$A$6:$A$31,0)),0)+IFERROR(INDEX(Jul!AI$6:AI$31,MATCH($A14,Jul!$A$6:$A$31,0)),0)</f>
        <v>0</v>
      </c>
      <c r="F14" s="89" t="str">
        <f t="shared" si="1"/>
        <v/>
      </c>
      <c r="G14" s="80">
        <f>IFERROR(INDEX(Aug!AJ$6:AJ$31,MATCH($A14,Aug!$A$6:$A$31,0)),0)+IFERROR(INDEX(Sep!AJ$6:AJ$31,MATCH($A14,Sep!$A$6:$A$31,0)),0)+IFERROR(INDEX(Oct!AJ$6:AJ$31,MATCH($A14,Oct!$A$6:$A$31,0)),0)+IFERROR(INDEX(Nov!AJ$6:AJ$31,MATCH($A14,Nov!$A$6:$A$31,0)),0)+IFERROR(INDEX(Dec!AJ$6:AJ$31,MATCH($A14,Dec!$A$6:$A$31,0)),0)+IFERROR(INDEX(Jan!AJ$6:AJ$32,MATCH($A14,Jan!$A$6:$A$32,0)),0)+IFERROR(INDEX(Feb!AJ$6:AJ$28,MATCH($A14,Feb!$A$6:$A$28,0)),0)+IFERROR(INDEX(Mar!AJ$6:AJ$31,MATCH($A14,Mar!$A$6:$A$31,0)),0)+IFERROR(INDEX(Apr!AJ$6:AJ$31,MATCH($A14,Apr!$A$6:$A$31,0)),0)+IFERROR(INDEX(May!AJ$6:AJ$31,MATCH($A14,May!$A$6:$A$31,0)),0)+IFERROR(INDEX(Jun!AJ$6:AJ$31,MATCH($A14,Jun!$A$6:$A$31,0)),0)+IFERROR(INDEX(Jul!AJ$6:AJ$31,MATCH($A14,Jul!$A$6:$A$31,0)),0)</f>
        <v>0</v>
      </c>
      <c r="H14" s="89" t="str">
        <f t="shared" si="2"/>
        <v/>
      </c>
      <c r="I14" s="80">
        <f>IFERROR(INDEX(Aug!AK$6:AK$31,MATCH($A14,Aug!$A$6:$A$31,0)),0)+IFERROR(INDEX(Sep!AK$6:AK$31,MATCH($A14,Sep!$A$6:$A$31,0)),0)+IFERROR(INDEX(Oct!AK$6:AK$31,MATCH($A14,Oct!$A$6:$A$31,0)),0)+IFERROR(INDEX(Nov!AK$6:AK$31,MATCH($A14,Nov!$A$6:$A$31,0)),0)+IFERROR(INDEX(Dec!AK$6:AK$31,MATCH($A14,Dec!$A$6:$A$31,0)),0)+IFERROR(INDEX(Jan!AK$6:AK$32,MATCH($A14,Jan!$A$6:$A$32,0)),0)+IFERROR(INDEX(Feb!AK$6:AK$28,MATCH($A14,Feb!$A$6:$A$28,0)),0)+IFERROR(INDEX(Mar!AK$6:AK$31,MATCH($A14,Mar!$A$6:$A$31,0)),0)+IFERROR(INDEX(Apr!AK$6:AK$31,MATCH($A14,Apr!$A$6:$A$31,0)),0)+IFERROR(INDEX(May!AK$6:AK$31,MATCH($A14,May!$A$6:$A$31,0)),0)+IFERROR(INDEX(Jun!AK$6:AK$31,MATCH($A14,Jun!$A$6:$A$31,0)),0)+IFERROR(INDEX(Jul!AK$6:AK$31,MATCH($A14,Jul!$A$6:$A$31,0)),0)</f>
        <v>0</v>
      </c>
      <c r="J14" s="89" t="str">
        <f t="shared" si="3"/>
        <v/>
      </c>
      <c r="K14" s="80">
        <f>IFERROR(INDEX(Aug!AL$6:AL$31,MATCH($A14,Aug!$A$6:$A$31,0)),0)+IFERROR(INDEX(Sep!AL$6:AL$31,MATCH($A14,Sep!$A$6:$A$31,0)),0)+IFERROR(INDEX(Oct!AL$6:AL$31,MATCH($A14,Oct!$A$6:$A$31,0)),0)+IFERROR(INDEX(Nov!AL$6:AL$31,MATCH($A14,Nov!$A$6:$A$31,0)),0)+IFERROR(INDEX(Dec!AL$6:AL$31,MATCH($A14,Dec!$A$6:$A$31,0)),0)+IFERROR(INDEX(Jan!AL$6:AL$32,MATCH($A14,Jan!$A$6:$A$32,0)),0)+IFERROR(INDEX(Feb!AL$6:AL$28,MATCH($A14,Feb!$A$6:$A$28,0)),0)+IFERROR(INDEX(Mar!AL$6:AL$31,MATCH($A14,Mar!$A$6:$A$31,0)),0)+IFERROR(INDEX(Apr!AL$6:AL$31,MATCH($A14,Apr!$A$6:$A$31,0)),0)+IFERROR(INDEX(May!AL$6:AL$31,MATCH($A14,May!$A$6:$A$31,0)),0)+IFERROR(INDEX(Jun!AL$6:AL$31,MATCH($A14,Jun!$A$6:$A$31,0)),0)+IFERROR(INDEX(Jul!AL$6:AL$31,MATCH($A14,Jul!$A$6:$A$31,0)),0)</f>
        <v>0</v>
      </c>
      <c r="L14" s="89" t="str">
        <f t="shared" si="4"/>
        <v/>
      </c>
      <c r="M14" s="80">
        <f>IFERROR(INDEX(Aug!AM$6:AM$31,MATCH($A14,Aug!$A$6:$A$31,0)),0)+IFERROR(INDEX(Sep!AM$6:AM$31,MATCH($A14,Sep!$A$6:$A$31,0)),0)+IFERROR(INDEX(Oct!AM$6:AM$31,MATCH($A14,Oct!$A$6:$A$31,0)),0)+IFERROR(INDEX(Nov!AM$6:AM$31,MATCH($A14,Nov!$A$6:$A$31,0)),0)+IFERROR(INDEX(Dec!AM$6:AM$31,MATCH($A14,Dec!$A$6:$A$31,0)),0)+IFERROR(INDEX(Jan!AM$6:AM$32,MATCH($A14,Jan!$A$6:$A$32,0)),0)+IFERROR(INDEX(Feb!AM$6:AM$28,MATCH($A14,Feb!$A$6:$A$28,0)),0)+IFERROR(INDEX(Mar!AM$6:AM$31,MATCH($A14,Mar!$A$6:$A$31,0)),0)+IFERROR(INDEX(Apr!AM$6:AM$31,MATCH($A14,Apr!$A$6:$A$31,0)),0)+IFERROR(INDEX(May!AM$6:AM$31,MATCH($A14,May!$A$6:$A$31,0)),0)+IFERROR(INDEX(Jun!AM$6:AM$31,MATCH($A14,Jun!$A$6:$A$31,0)),0)+IFERROR(INDEX(Jul!AM$6:AM$31,MATCH($A14,Jul!$A$6:$A$31,0)),0)</f>
        <v>0</v>
      </c>
      <c r="N14" s="89" t="str">
        <f t="shared" si="5"/>
        <v/>
      </c>
      <c r="O14" s="80">
        <f>IFERROR(INDEX(Aug!AN$6:AN$31,MATCH($A14,Aug!$A$6:$A$31,0)),0)+IFERROR(INDEX(Sep!AN$6:AN$31,MATCH($A14,Sep!$A$6:$A$31,0)),0)+IFERROR(INDEX(Oct!AN$6:AN$31,MATCH($A14,Oct!$A$6:$A$31,0)),0)+IFERROR(INDEX(Nov!AN$6:AN$31,MATCH($A14,Nov!$A$6:$A$31,0)),0)+IFERROR(INDEX(Dec!AN$6:AN$31,MATCH($A14,Dec!$A$6:$A$31,0)),0)+IFERROR(INDEX(Jan!AN$6:AN$32,MATCH($A14,Jan!$A$6:$A$32,0)),0)+IFERROR(INDEX(Feb!AN$6:AN$28,MATCH($A14,Feb!$A$6:$A$28,0)),0)+IFERROR(INDEX(Mar!AN$6:AN$31,MATCH($A14,Mar!$A$6:$A$31,0)),0)+IFERROR(INDEX(Apr!AN$6:AN$31,MATCH($A14,Apr!$A$6:$A$31,0)),0)+IFERROR(INDEX(May!AN$6:AN$31,MATCH($A14,May!$A$6:$A$31,0)),0)+IFERROR(INDEX(Jun!AN$6:AN$31,MATCH($A14,Jun!$A$6:$A$31,0)),0)+IFERROR(INDEX(Jul!AN$6:AN$31,MATCH($A14,Jul!$A$6:$A$31,0)),0)</f>
        <v>0</v>
      </c>
      <c r="P14" s="50" t="str">
        <f t="shared" si="6"/>
        <v/>
      </c>
      <c r="Q14" s="100">
        <f>IFERROR(INDEX(Aug!AO$6:AO$31,MATCH($A14,Aug!$A$6:$A$31,0)),0)+IFERROR(INDEX(Sep!AO$6:AO$31,MATCH($A14,Sep!$A$6:$A$31,0)),0)+IFERROR(INDEX(Oct!AO$6:AO$31,MATCH($A14,Oct!$A$6:$A$31,0)),0)+IFERROR(INDEX(Nov!AO$6:AO$31,MATCH($A14,Nov!$A$6:$A$31,0)),0)+IFERROR(INDEX(Dec!AO$6:AO$31,MATCH($A14,Dec!$A$6:$A$31,0)),0)+IFERROR(INDEX(Jan!AO$6:AO$32,MATCH($A14,Jan!$A$6:$A$32,0)),0)+IFERROR(INDEX(Feb!AO$6:AO$28,MATCH($A14,Feb!$A$6:$A$28,0)),0)+IFERROR(INDEX(Mar!AO$6:AO$31,MATCH($A14,Mar!$A$6:$A$31,0)),0)+IFERROR(INDEX(Apr!AO$6:AO$31,MATCH($A14,Apr!$A$6:$A$31,0)),0)+IFERROR(INDEX(May!AO$6:AO$31,MATCH($A14,May!$A$6:$A$31,0)),0)+IFERROR(INDEX(Jun!AO$6:AO$31,MATCH($A14,Jun!$A$6:$A$31,0)),0)+IFERROR(INDEX(Jul!AO$6:AO$31,MATCH($A14,Jul!$A$6:$A$31,0)),0)</f>
        <v>0</v>
      </c>
      <c r="R14" s="101" t="str">
        <f t="shared" si="7"/>
        <v/>
      </c>
      <c r="S14" s="81">
        <f>C14+E14+G14+I14+K14+M14+O14+Q14</f>
        <v>0</v>
      </c>
    </row>
    <row r="15" spans="1:20" ht="18" customHeight="1" x14ac:dyDescent="0.25">
      <c r="A15" s="42">
        <v>6</v>
      </c>
      <c r="B15" s="76" t="s">
        <v>27</v>
      </c>
      <c r="C15" s="80">
        <f>IFERROR(INDEX(Aug!AH$6:AH$31,MATCH($A15,Aug!$A$6:$A$31,0)),0)+IFERROR(INDEX(Sep!AH$6:AH$31,MATCH($A15,Sep!$A$6:$A$31,0)),0)+IFERROR(INDEX(Oct!AH$6:AH$31,MATCH($A15,Oct!$A$6:$A$31,0)),0)+IFERROR(INDEX(Nov!AH$6:AH$31,MATCH($A15,Nov!$A$6:$A$31,0)),0)+IFERROR(INDEX(Dec!AH$6:AH$31,MATCH($A15,Dec!$A$6:$A$31,0)),0)+IFERROR(INDEX(Jan!AH$6:AH$32,MATCH($A15,Jan!$A$6:$A$32,0)),0)+IFERROR(INDEX(Feb!AH$6:AH$28,MATCH($A15,Feb!$A$6:$A$28,0)),0)+IFERROR(INDEX(Mar!AH$6:AH$31,MATCH($A15,Mar!$A$6:$A$31,0)),0)+IFERROR(INDEX(Apr!AH$6:AH$31,MATCH($A15,Apr!$A$6:$A$31,0)),0)+IFERROR(INDEX(May!AH$6:AH$31,MATCH($A15,May!$A$6:$A$31,0)),0)+IFERROR(INDEX(Jun!AH$6:AH$31,MATCH($A15,Jun!$A$6:$A$31,0)),0)+IFERROR(INDEX(Jul!AH$6:AH$31,MATCH($A15,Jul!$A$6:$A$31,0)),0)</f>
        <v>0</v>
      </c>
      <c r="D15" s="50" t="str">
        <f t="shared" si="0"/>
        <v/>
      </c>
      <c r="E15" s="80">
        <f>IFERROR(INDEX(Aug!AI$6:AI$31,MATCH($A15,Aug!$A$6:$A$31,0)),0)+IFERROR(INDEX(Sep!AI$6:AI$31,MATCH($A15,Sep!$A$6:$A$31,0)),0)+IFERROR(INDEX(Oct!AI$6:AI$31,MATCH($A15,Oct!$A$6:$A$31,0)),0)+IFERROR(INDEX(Nov!AI$6:AI$31,MATCH($A15,Nov!$A$6:$A$31,0)),0)+IFERROR(INDEX(Dec!AI$6:AI$31,MATCH($A15,Dec!$A$6:$A$31,0)),0)+IFERROR(INDEX(Jan!AI$6:AI$32,MATCH($A15,Jan!$A$6:$A$32,0)),0)+IFERROR(INDEX(Feb!AI$6:AI$28,MATCH($A15,Feb!$A$6:$A$28,0)),0)+IFERROR(INDEX(Mar!AI$6:AI$31,MATCH($A15,Mar!$A$6:$A$31,0)),0)+IFERROR(INDEX(Apr!AI$6:AI$31,MATCH($A15,Apr!$A$6:$A$31,0)),0)+IFERROR(INDEX(May!AI$6:AI$31,MATCH($A15,May!$A$6:$A$31,0)),0)+IFERROR(INDEX(Jun!AI$6:AI$31,MATCH($A15,Jun!$A$6:$A$31,0)),0)+IFERROR(INDEX(Jul!AI$6:AI$31,MATCH($A15,Jul!$A$6:$A$31,0)),0)</f>
        <v>2</v>
      </c>
      <c r="F15" s="89">
        <f t="shared" si="1"/>
        <v>13</v>
      </c>
      <c r="G15" s="80">
        <f>IFERROR(INDEX(Aug!AJ$6:AJ$31,MATCH($A15,Aug!$A$6:$A$31,0)),0)+IFERROR(INDEX(Sep!AJ$6:AJ$31,MATCH($A15,Sep!$A$6:$A$31,0)),0)+IFERROR(INDEX(Oct!AJ$6:AJ$31,MATCH($A15,Oct!$A$6:$A$31,0)),0)+IFERROR(INDEX(Nov!AJ$6:AJ$31,MATCH($A15,Nov!$A$6:$A$31,0)),0)+IFERROR(INDEX(Dec!AJ$6:AJ$31,MATCH($A15,Dec!$A$6:$A$31,0)),0)+IFERROR(INDEX(Jan!AJ$6:AJ$32,MATCH($A15,Jan!$A$6:$A$32,0)),0)+IFERROR(INDEX(Feb!AJ$6:AJ$28,MATCH($A15,Feb!$A$6:$A$28,0)),0)+IFERROR(INDEX(Mar!AJ$6:AJ$31,MATCH($A15,Mar!$A$6:$A$31,0)),0)+IFERROR(INDEX(Apr!AJ$6:AJ$31,MATCH($A15,Apr!$A$6:$A$31,0)),0)+IFERROR(INDEX(May!AJ$6:AJ$31,MATCH($A15,May!$A$6:$A$31,0)),0)+IFERROR(INDEX(Jun!AJ$6:AJ$31,MATCH($A15,Jun!$A$6:$A$31,0)),0)+IFERROR(INDEX(Jul!AJ$6:AJ$31,MATCH($A15,Jul!$A$6:$A$31,0)),0)</f>
        <v>0</v>
      </c>
      <c r="H15" s="89" t="str">
        <f t="shared" si="2"/>
        <v/>
      </c>
      <c r="I15" s="80">
        <f>IFERROR(INDEX(Aug!AK$6:AK$31,MATCH($A15,Aug!$A$6:$A$31,0)),0)+IFERROR(INDEX(Sep!AK$6:AK$31,MATCH($A15,Sep!$A$6:$A$31,0)),0)+IFERROR(INDEX(Oct!AK$6:AK$31,MATCH($A15,Oct!$A$6:$A$31,0)),0)+IFERROR(INDEX(Nov!AK$6:AK$31,MATCH($A15,Nov!$A$6:$A$31,0)),0)+IFERROR(INDEX(Dec!AK$6:AK$31,MATCH($A15,Dec!$A$6:$A$31,0)),0)+IFERROR(INDEX(Jan!AK$6:AK$32,MATCH($A15,Jan!$A$6:$A$32,0)),0)+IFERROR(INDEX(Feb!AK$6:AK$28,MATCH($A15,Feb!$A$6:$A$28,0)),0)+IFERROR(INDEX(Mar!AK$6:AK$31,MATCH($A15,Mar!$A$6:$A$31,0)),0)+IFERROR(INDEX(Apr!AK$6:AK$31,MATCH($A15,Apr!$A$6:$A$31,0)),0)+IFERROR(INDEX(May!AK$6:AK$31,MATCH($A15,May!$A$6:$A$31,0)),0)+IFERROR(INDEX(Jun!AK$6:AK$31,MATCH($A15,Jun!$A$6:$A$31,0)),0)+IFERROR(INDEX(Jul!AK$6:AK$31,MATCH($A15,Jul!$A$6:$A$31,0)),0)</f>
        <v>0</v>
      </c>
      <c r="J15" s="89" t="str">
        <f t="shared" si="3"/>
        <v/>
      </c>
      <c r="K15" s="80">
        <f>IFERROR(INDEX(Aug!AL$6:AL$31,MATCH($A15,Aug!$A$6:$A$31,0)),0)+IFERROR(INDEX(Sep!AL$6:AL$31,MATCH($A15,Sep!$A$6:$A$31,0)),0)+IFERROR(INDEX(Oct!AL$6:AL$31,MATCH($A15,Oct!$A$6:$A$31,0)),0)+IFERROR(INDEX(Nov!AL$6:AL$31,MATCH($A15,Nov!$A$6:$A$31,0)),0)+IFERROR(INDEX(Dec!AL$6:AL$31,MATCH($A15,Dec!$A$6:$A$31,0)),0)+IFERROR(INDEX(Jan!AL$6:AL$32,MATCH($A15,Jan!$A$6:$A$32,0)),0)+IFERROR(INDEX(Feb!AL$6:AL$28,MATCH($A15,Feb!$A$6:$A$28,0)),0)+IFERROR(INDEX(Mar!AL$6:AL$31,MATCH($A15,Mar!$A$6:$A$31,0)),0)+IFERROR(INDEX(Apr!AL$6:AL$31,MATCH($A15,Apr!$A$6:$A$31,0)),0)+IFERROR(INDEX(May!AL$6:AL$31,MATCH($A15,May!$A$6:$A$31,0)),0)+IFERROR(INDEX(Jun!AL$6:AL$31,MATCH($A15,Jun!$A$6:$A$31,0)),0)+IFERROR(INDEX(Jul!AL$6:AL$31,MATCH($A15,Jul!$A$6:$A$31,0)),0)</f>
        <v>0</v>
      </c>
      <c r="L15" s="89" t="str">
        <f t="shared" si="4"/>
        <v/>
      </c>
      <c r="M15" s="80">
        <f>IFERROR(INDEX(Aug!AM$6:AM$31,MATCH($A15,Aug!$A$6:$A$31,0)),0)+IFERROR(INDEX(Sep!AM$6:AM$31,MATCH($A15,Sep!$A$6:$A$31,0)),0)+IFERROR(INDEX(Oct!AM$6:AM$31,MATCH($A15,Oct!$A$6:$A$31,0)),0)+IFERROR(INDEX(Nov!AM$6:AM$31,MATCH($A15,Nov!$A$6:$A$31,0)),0)+IFERROR(INDEX(Dec!AM$6:AM$31,MATCH($A15,Dec!$A$6:$A$31,0)),0)+IFERROR(INDEX(Jan!AM$6:AM$32,MATCH($A15,Jan!$A$6:$A$32,0)),0)+IFERROR(INDEX(Feb!AM$6:AM$28,MATCH($A15,Feb!$A$6:$A$28,0)),0)+IFERROR(INDEX(Mar!AM$6:AM$31,MATCH($A15,Mar!$A$6:$A$31,0)),0)+IFERROR(INDEX(Apr!AM$6:AM$31,MATCH($A15,Apr!$A$6:$A$31,0)),0)+IFERROR(INDEX(May!AM$6:AM$31,MATCH($A15,May!$A$6:$A$31,0)),0)+IFERROR(INDEX(Jun!AM$6:AM$31,MATCH($A15,Jun!$A$6:$A$31,0)),0)+IFERROR(INDEX(Jul!AM$6:AM$31,MATCH($A15,Jul!$A$6:$A$31,0)),0)</f>
        <v>0</v>
      </c>
      <c r="N15" s="89" t="str">
        <f t="shared" si="5"/>
        <v/>
      </c>
      <c r="O15" s="80">
        <f>IFERROR(INDEX(Aug!AN$6:AN$31,MATCH($A15,Aug!$A$6:$A$31,0)),0)+IFERROR(INDEX(Sep!AN$6:AN$31,MATCH($A15,Sep!$A$6:$A$31,0)),0)+IFERROR(INDEX(Oct!AN$6:AN$31,MATCH($A15,Oct!$A$6:$A$31,0)),0)+IFERROR(INDEX(Nov!AN$6:AN$31,MATCH($A15,Nov!$A$6:$A$31,0)),0)+IFERROR(INDEX(Dec!AN$6:AN$31,MATCH($A15,Dec!$A$6:$A$31,0)),0)+IFERROR(INDEX(Jan!AN$6:AN$32,MATCH($A15,Jan!$A$6:$A$32,0)),0)+IFERROR(INDEX(Feb!AN$6:AN$28,MATCH($A15,Feb!$A$6:$A$28,0)),0)+IFERROR(INDEX(Mar!AN$6:AN$31,MATCH($A15,Mar!$A$6:$A$31,0)),0)+IFERROR(INDEX(Apr!AN$6:AN$31,MATCH($A15,Apr!$A$6:$A$31,0)),0)+IFERROR(INDEX(May!AN$6:AN$31,MATCH($A15,May!$A$6:$A$31,0)),0)+IFERROR(INDEX(Jun!AN$6:AN$31,MATCH($A15,Jun!$A$6:$A$31,0)),0)+IFERROR(INDEX(Jul!AN$6:AN$31,MATCH($A15,Jul!$A$6:$A$31,0)),0)</f>
        <v>0</v>
      </c>
      <c r="P15" s="50" t="str">
        <f t="shared" si="6"/>
        <v/>
      </c>
      <c r="Q15" s="100">
        <f>IFERROR(INDEX(Aug!AO$6:AO$31,MATCH($A15,Aug!$A$6:$A$31,0)),0)+IFERROR(INDEX(Sep!AO$6:AO$31,MATCH($A15,Sep!$A$6:$A$31,0)),0)+IFERROR(INDEX(Oct!AO$6:AO$31,MATCH($A15,Oct!$A$6:$A$31,0)),0)+IFERROR(INDEX(Nov!AO$6:AO$31,MATCH($A15,Nov!$A$6:$A$31,0)),0)+IFERROR(INDEX(Dec!AO$6:AO$31,MATCH($A15,Dec!$A$6:$A$31,0)),0)+IFERROR(INDEX(Jan!AO$6:AO$32,MATCH($A15,Jan!$A$6:$A$32,0)),0)+IFERROR(INDEX(Feb!AO$6:AO$28,MATCH($A15,Feb!$A$6:$A$28,0)),0)+IFERROR(INDEX(Mar!AO$6:AO$31,MATCH($A15,Mar!$A$6:$A$31,0)),0)+IFERROR(INDEX(Apr!AO$6:AO$31,MATCH($A15,Apr!$A$6:$A$31,0)),0)+IFERROR(INDEX(May!AO$6:AO$31,MATCH($A15,May!$A$6:$A$31,0)),0)+IFERROR(INDEX(Jun!AO$6:AO$31,MATCH($A15,Jun!$A$6:$A$31,0)),0)+IFERROR(INDEX(Jul!AO$6:AO$31,MATCH($A15,Jul!$A$6:$A$31,0)),0)</f>
        <v>0</v>
      </c>
      <c r="R15" s="101" t="str">
        <f t="shared" si="7"/>
        <v/>
      </c>
      <c r="S15" s="81">
        <f>C15+E15+G15+I15+K15+M15+O15+Q15</f>
        <v>2</v>
      </c>
      <c r="T15" s="19"/>
    </row>
    <row r="16" spans="1:20" ht="18" customHeight="1" x14ac:dyDescent="0.25">
      <c r="A16" s="42">
        <v>7</v>
      </c>
      <c r="B16" s="76" t="s">
        <v>28</v>
      </c>
      <c r="C16" s="80">
        <f>IFERROR(INDEX(Aug!AH$6:AH$31,MATCH($A16,Aug!$A$6:$A$31,0)),0)+IFERROR(INDEX(Sep!AH$6:AH$31,MATCH($A16,Sep!$A$6:$A$31,0)),0)+IFERROR(INDEX(Oct!AH$6:AH$31,MATCH($A16,Oct!$A$6:$A$31,0)),0)+IFERROR(INDEX(Nov!AH$6:AH$31,MATCH($A16,Nov!$A$6:$A$31,0)),0)+IFERROR(INDEX(Dec!AH$6:AH$31,MATCH($A16,Dec!$A$6:$A$31,0)),0)+IFERROR(INDEX(Jan!AH$6:AH$32,MATCH($A16,Jan!$A$6:$A$32,0)),0)+IFERROR(INDEX(Feb!AH$6:AH$28,MATCH($A16,Feb!$A$6:$A$28,0)),0)+IFERROR(INDEX(Mar!AH$6:AH$31,MATCH($A16,Mar!$A$6:$A$31,0)),0)+IFERROR(INDEX(Apr!AH$6:AH$31,MATCH($A16,Apr!$A$6:$A$31,0)),0)+IFERROR(INDEX(May!AH$6:AH$31,MATCH($A16,May!$A$6:$A$31,0)),0)+IFERROR(INDEX(Jun!AH$6:AH$31,MATCH($A16,Jun!$A$6:$A$31,0)),0)+IFERROR(INDEX(Jul!AH$6:AH$31,MATCH($A16,Jul!$A$6:$A$31,0)),0)</f>
        <v>0</v>
      </c>
      <c r="D16" s="50" t="str">
        <f t="shared" si="0"/>
        <v/>
      </c>
      <c r="E16" s="80">
        <f>IFERROR(INDEX(Aug!AI$6:AI$31,MATCH($A16,Aug!$A$6:$A$31,0)),0)+IFERROR(INDEX(Sep!AI$6:AI$31,MATCH($A16,Sep!$A$6:$A$31,0)),0)+IFERROR(INDEX(Oct!AI$6:AI$31,MATCH($A16,Oct!$A$6:$A$31,0)),0)+IFERROR(INDEX(Nov!AI$6:AI$31,MATCH($A16,Nov!$A$6:$A$31,0)),0)+IFERROR(INDEX(Dec!AI$6:AI$31,MATCH($A16,Dec!$A$6:$A$31,0)),0)+IFERROR(INDEX(Jan!AI$6:AI$32,MATCH($A16,Jan!$A$6:$A$32,0)),0)+IFERROR(INDEX(Feb!AI$6:AI$28,MATCH($A16,Feb!$A$6:$A$28,0)),0)+IFERROR(INDEX(Mar!AI$6:AI$31,MATCH($A16,Mar!$A$6:$A$31,0)),0)+IFERROR(INDEX(Apr!AI$6:AI$31,MATCH($A16,Apr!$A$6:$A$31,0)),0)+IFERROR(INDEX(May!AI$6:AI$31,MATCH($A16,May!$A$6:$A$31,0)),0)+IFERROR(INDEX(Jun!AI$6:AI$31,MATCH($A16,Jun!$A$6:$A$31,0)),0)+IFERROR(INDEX(Jul!AI$6:AI$31,MATCH($A16,Jul!$A$6:$A$31,0)),0)</f>
        <v>0</v>
      </c>
      <c r="F16" s="89" t="str">
        <f t="shared" si="1"/>
        <v/>
      </c>
      <c r="G16" s="80">
        <f>IFERROR(INDEX(Aug!AJ$6:AJ$31,MATCH($A16,Aug!$A$6:$A$31,0)),0)+IFERROR(INDEX(Sep!AJ$6:AJ$31,MATCH($A16,Sep!$A$6:$A$31,0)),0)+IFERROR(INDEX(Oct!AJ$6:AJ$31,MATCH($A16,Oct!$A$6:$A$31,0)),0)+IFERROR(INDEX(Nov!AJ$6:AJ$31,MATCH($A16,Nov!$A$6:$A$31,0)),0)+IFERROR(INDEX(Dec!AJ$6:AJ$31,MATCH($A16,Dec!$A$6:$A$31,0)),0)+IFERROR(INDEX(Jan!AJ$6:AJ$32,MATCH($A16,Jan!$A$6:$A$32,0)),0)+IFERROR(INDEX(Feb!AJ$6:AJ$28,MATCH($A16,Feb!$A$6:$A$28,0)),0)+IFERROR(INDEX(Mar!AJ$6:AJ$31,MATCH($A16,Mar!$A$6:$A$31,0)),0)+IFERROR(INDEX(Apr!AJ$6:AJ$31,MATCH($A16,Apr!$A$6:$A$31,0)),0)+IFERROR(INDEX(May!AJ$6:AJ$31,MATCH($A16,May!$A$6:$A$31,0)),0)+IFERROR(INDEX(Jun!AJ$6:AJ$31,MATCH($A16,Jun!$A$6:$A$31,0)),0)+IFERROR(INDEX(Jul!AJ$6:AJ$31,MATCH($A16,Jul!$A$6:$A$31,0)),0)</f>
        <v>0</v>
      </c>
      <c r="H16" s="89" t="str">
        <f t="shared" si="2"/>
        <v/>
      </c>
      <c r="I16" s="80">
        <f>IFERROR(INDEX(Aug!AK$6:AK$31,MATCH($A16,Aug!$A$6:$A$31,0)),0)+IFERROR(INDEX(Sep!AK$6:AK$31,MATCH($A16,Sep!$A$6:$A$31,0)),0)+IFERROR(INDEX(Oct!AK$6:AK$31,MATCH($A16,Oct!$A$6:$A$31,0)),0)+IFERROR(INDEX(Nov!AK$6:AK$31,MATCH($A16,Nov!$A$6:$A$31,0)),0)+IFERROR(INDEX(Dec!AK$6:AK$31,MATCH($A16,Dec!$A$6:$A$31,0)),0)+IFERROR(INDEX(Jan!AK$6:AK$32,MATCH($A16,Jan!$A$6:$A$32,0)),0)+IFERROR(INDEX(Feb!AK$6:AK$28,MATCH($A16,Feb!$A$6:$A$28,0)),0)+IFERROR(INDEX(Mar!AK$6:AK$31,MATCH($A16,Mar!$A$6:$A$31,0)),0)+IFERROR(INDEX(Apr!AK$6:AK$31,MATCH($A16,Apr!$A$6:$A$31,0)),0)+IFERROR(INDEX(May!AK$6:AK$31,MATCH($A16,May!$A$6:$A$31,0)),0)+IFERROR(INDEX(Jun!AK$6:AK$31,MATCH($A16,Jun!$A$6:$A$31,0)),0)+IFERROR(INDEX(Jul!AK$6:AK$31,MATCH($A16,Jul!$A$6:$A$31,0)),0)</f>
        <v>0</v>
      </c>
      <c r="J16" s="89" t="str">
        <f t="shared" si="3"/>
        <v/>
      </c>
      <c r="K16" s="80">
        <f>IFERROR(INDEX(Aug!AL$6:AL$31,MATCH($A16,Aug!$A$6:$A$31,0)),0)+IFERROR(INDEX(Sep!AL$6:AL$31,MATCH($A16,Sep!$A$6:$A$31,0)),0)+IFERROR(INDEX(Oct!AL$6:AL$31,MATCH($A16,Oct!$A$6:$A$31,0)),0)+IFERROR(INDEX(Nov!AL$6:AL$31,MATCH($A16,Nov!$A$6:$A$31,0)),0)+IFERROR(INDEX(Dec!AL$6:AL$31,MATCH($A16,Dec!$A$6:$A$31,0)),0)+IFERROR(INDEX(Jan!AL$6:AL$32,MATCH($A16,Jan!$A$6:$A$32,0)),0)+IFERROR(INDEX(Feb!AL$6:AL$28,MATCH($A16,Feb!$A$6:$A$28,0)),0)+IFERROR(INDEX(Mar!AL$6:AL$31,MATCH($A16,Mar!$A$6:$A$31,0)),0)+IFERROR(INDEX(Apr!AL$6:AL$31,MATCH($A16,Apr!$A$6:$A$31,0)),0)+IFERROR(INDEX(May!AL$6:AL$31,MATCH($A16,May!$A$6:$A$31,0)),0)+IFERROR(INDEX(Jun!AL$6:AL$31,MATCH($A16,Jun!$A$6:$A$31,0)),0)+IFERROR(INDEX(Jul!AL$6:AL$31,MATCH($A16,Jul!$A$6:$A$31,0)),0)</f>
        <v>0</v>
      </c>
      <c r="L16" s="89" t="str">
        <f t="shared" si="4"/>
        <v/>
      </c>
      <c r="M16" s="80">
        <f>IFERROR(INDEX(Aug!AM$6:AM$31,MATCH($A16,Aug!$A$6:$A$31,0)),0)+IFERROR(INDEX(Sep!AM$6:AM$31,MATCH($A16,Sep!$A$6:$A$31,0)),0)+IFERROR(INDEX(Oct!AM$6:AM$31,MATCH($A16,Oct!$A$6:$A$31,0)),0)+IFERROR(INDEX(Nov!AM$6:AM$31,MATCH($A16,Nov!$A$6:$A$31,0)),0)+IFERROR(INDEX(Dec!AM$6:AM$31,MATCH($A16,Dec!$A$6:$A$31,0)),0)+IFERROR(INDEX(Jan!AM$6:AM$32,MATCH($A16,Jan!$A$6:$A$32,0)),0)+IFERROR(INDEX(Feb!AM$6:AM$28,MATCH($A16,Feb!$A$6:$A$28,0)),0)+IFERROR(INDEX(Mar!AM$6:AM$31,MATCH($A16,Mar!$A$6:$A$31,0)),0)+IFERROR(INDEX(Apr!AM$6:AM$31,MATCH($A16,Apr!$A$6:$A$31,0)),0)+IFERROR(INDEX(May!AM$6:AM$31,MATCH($A16,May!$A$6:$A$31,0)),0)+IFERROR(INDEX(Jun!AM$6:AM$31,MATCH($A16,Jun!$A$6:$A$31,0)),0)+IFERROR(INDEX(Jul!AM$6:AM$31,MATCH($A16,Jul!$A$6:$A$31,0)),0)</f>
        <v>4</v>
      </c>
      <c r="N16" s="89">
        <f t="shared" si="5"/>
        <v>1</v>
      </c>
      <c r="O16" s="80">
        <f>IFERROR(INDEX(Aug!AN$6:AN$31,MATCH($A16,Aug!$A$6:$A$31,0)),0)+IFERROR(INDEX(Sep!AN$6:AN$31,MATCH($A16,Sep!$A$6:$A$31,0)),0)+IFERROR(INDEX(Oct!AN$6:AN$31,MATCH($A16,Oct!$A$6:$A$31,0)),0)+IFERROR(INDEX(Nov!AN$6:AN$31,MATCH($A16,Nov!$A$6:$A$31,0)),0)+IFERROR(INDEX(Dec!AN$6:AN$31,MATCH($A16,Dec!$A$6:$A$31,0)),0)+IFERROR(INDEX(Jan!AN$6:AN$32,MATCH($A16,Jan!$A$6:$A$32,0)),0)+IFERROR(INDEX(Feb!AN$6:AN$28,MATCH($A16,Feb!$A$6:$A$28,0)),0)+IFERROR(INDEX(Mar!AN$6:AN$31,MATCH($A16,Mar!$A$6:$A$31,0)),0)+IFERROR(INDEX(Apr!AN$6:AN$31,MATCH($A16,Apr!$A$6:$A$31,0)),0)+IFERROR(INDEX(May!AN$6:AN$31,MATCH($A16,May!$A$6:$A$31,0)),0)+IFERROR(INDEX(Jun!AN$6:AN$31,MATCH($A16,Jun!$A$6:$A$31,0)),0)+IFERROR(INDEX(Jul!AN$6:AN$31,MATCH($A16,Jul!$A$6:$A$31,0)),0)</f>
        <v>0</v>
      </c>
      <c r="P16" s="50" t="str">
        <f t="shared" si="6"/>
        <v/>
      </c>
      <c r="Q16" s="100">
        <f>IFERROR(INDEX(Aug!AO$6:AO$31,MATCH($A16,Aug!$A$6:$A$31,0)),0)+IFERROR(INDEX(Sep!AO$6:AO$31,MATCH($A16,Sep!$A$6:$A$31,0)),0)+IFERROR(INDEX(Oct!AO$6:AO$31,MATCH($A16,Oct!$A$6:$A$31,0)),0)+IFERROR(INDEX(Nov!AO$6:AO$31,MATCH($A16,Nov!$A$6:$A$31,0)),0)+IFERROR(INDEX(Dec!AO$6:AO$31,MATCH($A16,Dec!$A$6:$A$31,0)),0)+IFERROR(INDEX(Jan!AO$6:AO$32,MATCH($A16,Jan!$A$6:$A$32,0)),0)+IFERROR(INDEX(Feb!AO$6:AO$28,MATCH($A16,Feb!$A$6:$A$28,0)),0)+IFERROR(INDEX(Mar!AO$6:AO$31,MATCH($A16,Mar!$A$6:$A$31,0)),0)+IFERROR(INDEX(Apr!AO$6:AO$31,MATCH($A16,Apr!$A$6:$A$31,0)),0)+IFERROR(INDEX(May!AO$6:AO$31,MATCH($A16,May!$A$6:$A$31,0)),0)+IFERROR(INDEX(Jun!AO$6:AO$31,MATCH($A16,Jun!$A$6:$A$31,0)),0)+IFERROR(INDEX(Jul!AO$6:AO$31,MATCH($A16,Jul!$A$6:$A$31,0)),0)</f>
        <v>0</v>
      </c>
      <c r="R16" s="101" t="str">
        <f t="shared" si="7"/>
        <v/>
      </c>
      <c r="S16" s="81">
        <f>C16+E16+G16+I16+K16+M16+O16+Q16</f>
        <v>4</v>
      </c>
      <c r="T16" s="19" t="s">
        <v>29</v>
      </c>
    </row>
    <row r="17" spans="1:20" ht="18" customHeight="1" x14ac:dyDescent="0.25">
      <c r="A17" s="42">
        <v>8</v>
      </c>
      <c r="B17" s="76" t="s">
        <v>30</v>
      </c>
      <c r="C17" s="80">
        <f>IFERROR(INDEX(Aug!AH$6:AH$31,MATCH($A17,Aug!$A$6:$A$31,0)),0)+IFERROR(INDEX(Sep!AH$6:AH$31,MATCH($A17,Sep!$A$6:$A$31,0)),0)+IFERROR(INDEX(Oct!AH$6:AH$31,MATCH($A17,Oct!$A$6:$A$31,0)),0)+IFERROR(INDEX(Nov!AH$6:AH$31,MATCH($A17,Nov!$A$6:$A$31,0)),0)+IFERROR(INDEX(Dec!AH$6:AH$31,MATCH($A17,Dec!$A$6:$A$31,0)),0)+IFERROR(INDEX(Jan!AH$6:AH$32,MATCH($A17,Jan!$A$6:$A$32,0)),0)+IFERROR(INDEX(Feb!AH$6:AH$28,MATCH($A17,Feb!$A$6:$A$28,0)),0)+IFERROR(INDEX(Mar!AH$6:AH$31,MATCH($A17,Mar!$A$6:$A$31,0)),0)+IFERROR(INDEX(Apr!AH$6:AH$31,MATCH($A17,Apr!$A$6:$A$31,0)),0)+IFERROR(INDEX(May!AH$6:AH$31,MATCH($A17,May!$A$6:$A$31,0)),0)+IFERROR(INDEX(Jun!AH$6:AH$31,MATCH($A17,Jun!$A$6:$A$31,0)),0)+IFERROR(INDEX(Jul!AH$6:AH$31,MATCH($A17,Jul!$A$6:$A$31,0)),0)</f>
        <v>0</v>
      </c>
      <c r="D17" s="50" t="str">
        <f t="shared" si="0"/>
        <v/>
      </c>
      <c r="E17" s="80">
        <f>IFERROR(INDEX(Aug!AI$6:AI$31,MATCH($A17,Aug!$A$6:$A$31,0)),0)+IFERROR(INDEX(Sep!AI$6:AI$31,MATCH($A17,Sep!$A$6:$A$31,0)),0)+IFERROR(INDEX(Oct!AI$6:AI$31,MATCH($A17,Oct!$A$6:$A$31,0)),0)+IFERROR(INDEX(Nov!AI$6:AI$31,MATCH($A17,Nov!$A$6:$A$31,0)),0)+IFERROR(INDEX(Dec!AI$6:AI$31,MATCH($A17,Dec!$A$6:$A$31,0)),0)+IFERROR(INDEX(Jan!AI$6:AI$32,MATCH($A17,Jan!$A$6:$A$32,0)),0)+IFERROR(INDEX(Feb!AI$6:AI$28,MATCH($A17,Feb!$A$6:$A$28,0)),0)+IFERROR(INDEX(Mar!AI$6:AI$31,MATCH($A17,Mar!$A$6:$A$31,0)),0)+IFERROR(INDEX(Apr!AI$6:AI$31,MATCH($A17,Apr!$A$6:$A$31,0)),0)+IFERROR(INDEX(May!AI$6:AI$31,MATCH($A17,May!$A$6:$A$31,0)),0)+IFERROR(INDEX(Jun!AI$6:AI$31,MATCH($A17,Jun!$A$6:$A$31,0)),0)+IFERROR(INDEX(Jul!AI$6:AI$31,MATCH($A17,Jul!$A$6:$A$31,0)),0)</f>
        <v>0</v>
      </c>
      <c r="F17" s="89" t="str">
        <f t="shared" si="1"/>
        <v/>
      </c>
      <c r="G17" s="80">
        <f>IFERROR(INDEX(Aug!AJ$6:AJ$31,MATCH($A17,Aug!$A$6:$A$31,0)),0)+IFERROR(INDEX(Sep!AJ$6:AJ$31,MATCH($A17,Sep!$A$6:$A$31,0)),0)+IFERROR(INDEX(Oct!AJ$6:AJ$31,MATCH($A17,Oct!$A$6:$A$31,0)),0)+IFERROR(INDEX(Nov!AJ$6:AJ$31,MATCH($A17,Nov!$A$6:$A$31,0)),0)+IFERROR(INDEX(Dec!AJ$6:AJ$31,MATCH($A17,Dec!$A$6:$A$31,0)),0)+IFERROR(INDEX(Jan!AJ$6:AJ$32,MATCH($A17,Jan!$A$6:$A$32,0)),0)+IFERROR(INDEX(Feb!AJ$6:AJ$28,MATCH($A17,Feb!$A$6:$A$28,0)),0)+IFERROR(INDEX(Mar!AJ$6:AJ$31,MATCH($A17,Mar!$A$6:$A$31,0)),0)+IFERROR(INDEX(Apr!AJ$6:AJ$31,MATCH($A17,Apr!$A$6:$A$31,0)),0)+IFERROR(INDEX(May!AJ$6:AJ$31,MATCH($A17,May!$A$6:$A$31,0)),0)+IFERROR(INDEX(Jun!AJ$6:AJ$31,MATCH($A17,Jun!$A$6:$A$31,0)),0)+IFERROR(INDEX(Jul!AJ$6:AJ$31,MATCH($A17,Jul!$A$6:$A$31,0)),0)</f>
        <v>0</v>
      </c>
      <c r="H17" s="89" t="str">
        <f t="shared" si="2"/>
        <v/>
      </c>
      <c r="I17" s="80">
        <f>IFERROR(INDEX(Aug!AK$6:AK$31,MATCH($A17,Aug!$A$6:$A$31,0)),0)+IFERROR(INDEX(Sep!AK$6:AK$31,MATCH($A17,Sep!$A$6:$A$31,0)),0)+IFERROR(INDEX(Oct!AK$6:AK$31,MATCH($A17,Oct!$A$6:$A$31,0)),0)+IFERROR(INDEX(Nov!AK$6:AK$31,MATCH($A17,Nov!$A$6:$A$31,0)),0)+IFERROR(INDEX(Dec!AK$6:AK$31,MATCH($A17,Dec!$A$6:$A$31,0)),0)+IFERROR(INDEX(Jan!AK$6:AK$32,MATCH($A17,Jan!$A$6:$A$32,0)),0)+IFERROR(INDEX(Feb!AK$6:AK$28,MATCH($A17,Feb!$A$6:$A$28,0)),0)+IFERROR(INDEX(Mar!AK$6:AK$31,MATCH($A17,Mar!$A$6:$A$31,0)),0)+IFERROR(INDEX(Apr!AK$6:AK$31,MATCH($A17,Apr!$A$6:$A$31,0)),0)+IFERROR(INDEX(May!AK$6:AK$31,MATCH($A17,May!$A$6:$A$31,0)),0)+IFERROR(INDEX(Jun!AK$6:AK$31,MATCH($A17,Jun!$A$6:$A$31,0)),0)+IFERROR(INDEX(Jul!AK$6:AK$31,MATCH($A17,Jul!$A$6:$A$31,0)),0)</f>
        <v>0</v>
      </c>
      <c r="J17" s="89" t="str">
        <f t="shared" si="3"/>
        <v/>
      </c>
      <c r="K17" s="80">
        <f>IFERROR(INDEX(Aug!AL$6:AL$31,MATCH($A17,Aug!$A$6:$A$31,0)),0)+IFERROR(INDEX(Sep!AL$6:AL$31,MATCH($A17,Sep!$A$6:$A$31,0)),0)+IFERROR(INDEX(Oct!AL$6:AL$31,MATCH($A17,Oct!$A$6:$A$31,0)),0)+IFERROR(INDEX(Nov!AL$6:AL$31,MATCH($A17,Nov!$A$6:$A$31,0)),0)+IFERROR(INDEX(Dec!AL$6:AL$31,MATCH($A17,Dec!$A$6:$A$31,0)),0)+IFERROR(INDEX(Jan!AL$6:AL$32,MATCH($A17,Jan!$A$6:$A$32,0)),0)+IFERROR(INDEX(Feb!AL$6:AL$28,MATCH($A17,Feb!$A$6:$A$28,0)),0)+IFERROR(INDEX(Mar!AL$6:AL$31,MATCH($A17,Mar!$A$6:$A$31,0)),0)+IFERROR(INDEX(Apr!AL$6:AL$31,MATCH($A17,Apr!$A$6:$A$31,0)),0)+IFERROR(INDEX(May!AL$6:AL$31,MATCH($A17,May!$A$6:$A$31,0)),0)+IFERROR(INDEX(Jun!AL$6:AL$31,MATCH($A17,Jun!$A$6:$A$31,0)),0)+IFERROR(INDEX(Jul!AL$6:AL$31,MATCH($A17,Jul!$A$6:$A$31,0)),0)</f>
        <v>0</v>
      </c>
      <c r="L17" s="89" t="str">
        <f t="shared" si="4"/>
        <v/>
      </c>
      <c r="M17" s="80">
        <f>IFERROR(INDEX(Aug!AM$6:AM$31,MATCH($A17,Aug!$A$6:$A$31,0)),0)+IFERROR(INDEX(Sep!AM$6:AM$31,MATCH($A17,Sep!$A$6:$A$31,0)),0)+IFERROR(INDEX(Oct!AM$6:AM$31,MATCH($A17,Oct!$A$6:$A$31,0)),0)+IFERROR(INDEX(Nov!AM$6:AM$31,MATCH($A17,Nov!$A$6:$A$31,0)),0)+IFERROR(INDEX(Dec!AM$6:AM$31,MATCH($A17,Dec!$A$6:$A$31,0)),0)+IFERROR(INDEX(Jan!AM$6:AM$32,MATCH($A17,Jan!$A$6:$A$32,0)),0)+IFERROR(INDEX(Feb!AM$6:AM$28,MATCH($A17,Feb!$A$6:$A$28,0)),0)+IFERROR(INDEX(Mar!AM$6:AM$31,MATCH($A17,Mar!$A$6:$A$31,0)),0)+IFERROR(INDEX(Apr!AM$6:AM$31,MATCH($A17,Apr!$A$6:$A$31,0)),0)+IFERROR(INDEX(May!AM$6:AM$31,MATCH($A17,May!$A$6:$A$31,0)),0)+IFERROR(INDEX(Jun!AM$6:AM$31,MATCH($A17,Jun!$A$6:$A$31,0)),0)+IFERROR(INDEX(Jul!AM$6:AM$31,MATCH($A17,Jul!$A$6:$A$31,0)),0)</f>
        <v>0</v>
      </c>
      <c r="N17" s="89" t="str">
        <f t="shared" si="5"/>
        <v/>
      </c>
      <c r="O17" s="80">
        <f>IFERROR(INDEX(Aug!AN$6:AN$31,MATCH($A17,Aug!$A$6:$A$31,0)),0)+IFERROR(INDEX(Sep!AN$6:AN$31,MATCH($A17,Sep!$A$6:$A$31,0)),0)+IFERROR(INDEX(Oct!AN$6:AN$31,MATCH($A17,Oct!$A$6:$A$31,0)),0)+IFERROR(INDEX(Nov!AN$6:AN$31,MATCH($A17,Nov!$A$6:$A$31,0)),0)+IFERROR(INDEX(Dec!AN$6:AN$31,MATCH($A17,Dec!$A$6:$A$31,0)),0)+IFERROR(INDEX(Jan!AN$6:AN$32,MATCH($A17,Jan!$A$6:$A$32,0)),0)+IFERROR(INDEX(Feb!AN$6:AN$28,MATCH($A17,Feb!$A$6:$A$28,0)),0)+IFERROR(INDEX(Mar!AN$6:AN$31,MATCH($A17,Mar!$A$6:$A$31,0)),0)+IFERROR(INDEX(Apr!AN$6:AN$31,MATCH($A17,Apr!$A$6:$A$31,0)),0)+IFERROR(INDEX(May!AN$6:AN$31,MATCH($A17,May!$A$6:$A$31,0)),0)+IFERROR(INDEX(Jun!AN$6:AN$31,MATCH($A17,Jun!$A$6:$A$31,0)),0)+IFERROR(INDEX(Jul!AN$6:AN$31,MATCH($A17,Jul!$A$6:$A$31,0)),0)</f>
        <v>0</v>
      </c>
      <c r="P17" s="50" t="str">
        <f t="shared" si="6"/>
        <v/>
      </c>
      <c r="Q17" s="100">
        <f>IFERROR(INDEX(Aug!AO$6:AO$31,MATCH($A17,Aug!$A$6:$A$31,0)),0)+IFERROR(INDEX(Sep!AO$6:AO$31,MATCH($A17,Sep!$A$6:$A$31,0)),0)+IFERROR(INDEX(Oct!AO$6:AO$31,MATCH($A17,Oct!$A$6:$A$31,0)),0)+IFERROR(INDEX(Nov!AO$6:AO$31,MATCH($A17,Nov!$A$6:$A$31,0)),0)+IFERROR(INDEX(Dec!AO$6:AO$31,MATCH($A17,Dec!$A$6:$A$31,0)),0)+IFERROR(INDEX(Jan!AO$6:AO$32,MATCH($A17,Jan!$A$6:$A$32,0)),0)+IFERROR(INDEX(Feb!AO$6:AO$28,MATCH($A17,Feb!$A$6:$A$28,0)),0)+IFERROR(INDEX(Mar!AO$6:AO$31,MATCH($A17,Mar!$A$6:$A$31,0)),0)+IFERROR(INDEX(Apr!AO$6:AO$31,MATCH($A17,Apr!$A$6:$A$31,0)),0)+IFERROR(INDEX(May!AO$6:AO$31,MATCH($A17,May!$A$6:$A$31,0)),0)+IFERROR(INDEX(Jun!AO$6:AO$31,MATCH($A17,Jun!$A$6:$A$31,0)),0)+IFERROR(INDEX(Jul!AO$6:AO$31,MATCH($A17,Jul!$A$6:$A$31,0)),0)</f>
        <v>0</v>
      </c>
      <c r="R17" s="101" t="str">
        <f t="shared" si="7"/>
        <v/>
      </c>
      <c r="S17" s="81">
        <f>C17+E17+G17+I17+K17+M17+O17+Q17</f>
        <v>0</v>
      </c>
      <c r="T17" s="19" t="s">
        <v>31</v>
      </c>
    </row>
    <row r="18" spans="1:20" ht="18" customHeight="1" x14ac:dyDescent="0.25">
      <c r="A18" s="42">
        <v>9</v>
      </c>
      <c r="B18" s="76" t="s">
        <v>32</v>
      </c>
      <c r="C18" s="80">
        <f>IFERROR(INDEX(Aug!AH$6:AH$31,MATCH($A18,Aug!$A$6:$A$31,0)),0)+IFERROR(INDEX(Sep!AH$6:AH$31,MATCH($A18,Sep!$A$6:$A$31,0)),0)+IFERROR(INDEX(Oct!AH$6:AH$31,MATCH($A18,Oct!$A$6:$A$31,0)),0)+IFERROR(INDEX(Nov!AH$6:AH$31,MATCH($A18,Nov!$A$6:$A$31,0)),0)+IFERROR(INDEX(Dec!AH$6:AH$31,MATCH($A18,Dec!$A$6:$A$31,0)),0)+IFERROR(INDEX(Jan!AH$6:AH$32,MATCH($A18,Jan!$A$6:$A$32,0)),0)+IFERROR(INDEX(Feb!AH$6:AH$28,MATCH($A18,Feb!$A$6:$A$28,0)),0)+IFERROR(INDEX(Mar!AH$6:AH$31,MATCH($A18,Mar!$A$6:$A$31,0)),0)+IFERROR(INDEX(Apr!AH$6:AH$31,MATCH($A18,Apr!$A$6:$A$31,0)),0)+IFERROR(INDEX(May!AH$6:AH$31,MATCH($A18,May!$A$6:$A$31,0)),0)+IFERROR(INDEX(Jun!AH$6:AH$31,MATCH($A18,Jun!$A$6:$A$31,0)),0)+IFERROR(INDEX(Jul!AH$6:AH$31,MATCH($A18,Jul!$A$6:$A$31,0)),0)</f>
        <v>0</v>
      </c>
      <c r="D18" s="50" t="str">
        <f t="shared" si="0"/>
        <v/>
      </c>
      <c r="E18" s="80">
        <f>IFERROR(INDEX(Aug!AI$6:AI$31,MATCH($A18,Aug!$A$6:$A$31,0)),0)+IFERROR(INDEX(Sep!AI$6:AI$31,MATCH($A18,Sep!$A$6:$A$31,0)),0)+IFERROR(INDEX(Oct!AI$6:AI$31,MATCH($A18,Oct!$A$6:$A$31,0)),0)+IFERROR(INDEX(Nov!AI$6:AI$31,MATCH($A18,Nov!$A$6:$A$31,0)),0)+IFERROR(INDEX(Dec!AI$6:AI$31,MATCH($A18,Dec!$A$6:$A$31,0)),0)+IFERROR(INDEX(Jan!AI$6:AI$32,MATCH($A18,Jan!$A$6:$A$32,0)),0)+IFERROR(INDEX(Feb!AI$6:AI$28,MATCH($A18,Feb!$A$6:$A$28,0)),0)+IFERROR(INDEX(Mar!AI$6:AI$31,MATCH($A18,Mar!$A$6:$A$31,0)),0)+IFERROR(INDEX(Apr!AI$6:AI$31,MATCH($A18,Apr!$A$6:$A$31,0)),0)+IFERROR(INDEX(May!AI$6:AI$31,MATCH($A18,May!$A$6:$A$31,0)),0)+IFERROR(INDEX(Jun!AI$6:AI$31,MATCH($A18,Jun!$A$6:$A$31,0)),0)+IFERROR(INDEX(Jul!AI$6:AI$31,MATCH($A18,Jul!$A$6:$A$31,0)),0)</f>
        <v>0</v>
      </c>
      <c r="F18" s="89" t="str">
        <f t="shared" si="1"/>
        <v/>
      </c>
      <c r="G18" s="80">
        <f>IFERROR(INDEX(Aug!AJ$6:AJ$31,MATCH($A18,Aug!$A$6:$A$31,0)),0)+IFERROR(INDEX(Sep!AJ$6:AJ$31,MATCH($A18,Sep!$A$6:$A$31,0)),0)+IFERROR(INDEX(Oct!AJ$6:AJ$31,MATCH($A18,Oct!$A$6:$A$31,0)),0)+IFERROR(INDEX(Nov!AJ$6:AJ$31,MATCH($A18,Nov!$A$6:$A$31,0)),0)+IFERROR(INDEX(Dec!AJ$6:AJ$31,MATCH($A18,Dec!$A$6:$A$31,0)),0)+IFERROR(INDEX(Jan!AJ$6:AJ$32,MATCH($A18,Jan!$A$6:$A$32,0)),0)+IFERROR(INDEX(Feb!AJ$6:AJ$28,MATCH($A18,Feb!$A$6:$A$28,0)),0)+IFERROR(INDEX(Mar!AJ$6:AJ$31,MATCH($A18,Mar!$A$6:$A$31,0)),0)+IFERROR(INDEX(Apr!AJ$6:AJ$31,MATCH($A18,Apr!$A$6:$A$31,0)),0)+IFERROR(INDEX(May!AJ$6:AJ$31,MATCH($A18,May!$A$6:$A$31,0)),0)+IFERROR(INDEX(Jun!AJ$6:AJ$31,MATCH($A18,Jun!$A$6:$A$31,0)),0)+IFERROR(INDEX(Jul!AJ$6:AJ$31,MATCH($A18,Jul!$A$6:$A$31,0)),0)</f>
        <v>0</v>
      </c>
      <c r="H18" s="89" t="str">
        <f t="shared" si="2"/>
        <v/>
      </c>
      <c r="I18" s="80">
        <f>IFERROR(INDEX(Aug!AK$6:AK$31,MATCH($A18,Aug!$A$6:$A$31,0)),0)+IFERROR(INDEX(Sep!AK$6:AK$31,MATCH($A18,Sep!$A$6:$A$31,0)),0)+IFERROR(INDEX(Oct!AK$6:AK$31,MATCH($A18,Oct!$A$6:$A$31,0)),0)+IFERROR(INDEX(Nov!AK$6:AK$31,MATCH($A18,Nov!$A$6:$A$31,0)),0)+IFERROR(INDEX(Dec!AK$6:AK$31,MATCH($A18,Dec!$A$6:$A$31,0)),0)+IFERROR(INDEX(Jan!AK$6:AK$32,MATCH($A18,Jan!$A$6:$A$32,0)),0)+IFERROR(INDEX(Feb!AK$6:AK$28,MATCH($A18,Feb!$A$6:$A$28,0)),0)+IFERROR(INDEX(Mar!AK$6:AK$31,MATCH($A18,Mar!$A$6:$A$31,0)),0)+IFERROR(INDEX(Apr!AK$6:AK$31,MATCH($A18,Apr!$A$6:$A$31,0)),0)+IFERROR(INDEX(May!AK$6:AK$31,MATCH($A18,May!$A$6:$A$31,0)),0)+IFERROR(INDEX(Jun!AK$6:AK$31,MATCH($A18,Jun!$A$6:$A$31,0)),0)+IFERROR(INDEX(Jul!AK$6:AK$31,MATCH($A18,Jul!$A$6:$A$31,0)),0)</f>
        <v>0</v>
      </c>
      <c r="J18" s="89" t="str">
        <f t="shared" si="3"/>
        <v/>
      </c>
      <c r="K18" s="80">
        <f>IFERROR(INDEX(Aug!AL$6:AL$31,MATCH($A18,Aug!$A$6:$A$31,0)),0)+IFERROR(INDEX(Sep!AL$6:AL$31,MATCH($A18,Sep!$A$6:$A$31,0)),0)+IFERROR(INDEX(Oct!AL$6:AL$31,MATCH($A18,Oct!$A$6:$A$31,0)),0)+IFERROR(INDEX(Nov!AL$6:AL$31,MATCH($A18,Nov!$A$6:$A$31,0)),0)+IFERROR(INDEX(Dec!AL$6:AL$31,MATCH($A18,Dec!$A$6:$A$31,0)),0)+IFERROR(INDEX(Jan!AL$6:AL$32,MATCH($A18,Jan!$A$6:$A$32,0)),0)+IFERROR(INDEX(Feb!AL$6:AL$28,MATCH($A18,Feb!$A$6:$A$28,0)),0)+IFERROR(INDEX(Mar!AL$6:AL$31,MATCH($A18,Mar!$A$6:$A$31,0)),0)+IFERROR(INDEX(Apr!AL$6:AL$31,MATCH($A18,Apr!$A$6:$A$31,0)),0)+IFERROR(INDEX(May!AL$6:AL$31,MATCH($A18,May!$A$6:$A$31,0)),0)+IFERROR(INDEX(Jun!AL$6:AL$31,MATCH($A18,Jun!$A$6:$A$31,0)),0)+IFERROR(INDEX(Jul!AL$6:AL$31,MATCH($A18,Jul!$A$6:$A$31,0)),0)</f>
        <v>0</v>
      </c>
      <c r="L18" s="89" t="str">
        <f t="shared" si="4"/>
        <v/>
      </c>
      <c r="M18" s="80">
        <f>IFERROR(INDEX(Aug!AM$6:AM$31,MATCH($A18,Aug!$A$6:$A$31,0)),0)+IFERROR(INDEX(Sep!AM$6:AM$31,MATCH($A18,Sep!$A$6:$A$31,0)),0)+IFERROR(INDEX(Oct!AM$6:AM$31,MATCH($A18,Oct!$A$6:$A$31,0)),0)+IFERROR(INDEX(Nov!AM$6:AM$31,MATCH($A18,Nov!$A$6:$A$31,0)),0)+IFERROR(INDEX(Dec!AM$6:AM$31,MATCH($A18,Dec!$A$6:$A$31,0)),0)+IFERROR(INDEX(Jan!AM$6:AM$32,MATCH($A18,Jan!$A$6:$A$32,0)),0)+IFERROR(INDEX(Feb!AM$6:AM$28,MATCH($A18,Feb!$A$6:$A$28,0)),0)+IFERROR(INDEX(Mar!AM$6:AM$31,MATCH($A18,Mar!$A$6:$A$31,0)),0)+IFERROR(INDEX(Apr!AM$6:AM$31,MATCH($A18,Apr!$A$6:$A$31,0)),0)+IFERROR(INDEX(May!AM$6:AM$31,MATCH($A18,May!$A$6:$A$31,0)),0)+IFERROR(INDEX(Jun!AM$6:AM$31,MATCH($A18,Jun!$A$6:$A$31,0)),0)+IFERROR(INDEX(Jul!AM$6:AM$31,MATCH($A18,Jul!$A$6:$A$31,0)),0)</f>
        <v>0</v>
      </c>
      <c r="N18" s="89" t="str">
        <f t="shared" si="5"/>
        <v/>
      </c>
      <c r="O18" s="80">
        <f>IFERROR(INDEX(Aug!AN$6:AN$31,MATCH($A18,Aug!$A$6:$A$31,0)),0)+IFERROR(INDEX(Sep!AN$6:AN$31,MATCH($A18,Sep!$A$6:$A$31,0)),0)+IFERROR(INDEX(Oct!AN$6:AN$31,MATCH($A18,Oct!$A$6:$A$31,0)),0)+IFERROR(INDEX(Nov!AN$6:AN$31,MATCH($A18,Nov!$A$6:$A$31,0)),0)+IFERROR(INDEX(Dec!AN$6:AN$31,MATCH($A18,Dec!$A$6:$A$31,0)),0)+IFERROR(INDEX(Jan!AN$6:AN$32,MATCH($A18,Jan!$A$6:$A$32,0)),0)+IFERROR(INDEX(Feb!AN$6:AN$28,MATCH($A18,Feb!$A$6:$A$28,0)),0)+IFERROR(INDEX(Mar!AN$6:AN$31,MATCH($A18,Mar!$A$6:$A$31,0)),0)+IFERROR(INDEX(Apr!AN$6:AN$31,MATCH($A18,Apr!$A$6:$A$31,0)),0)+IFERROR(INDEX(May!AN$6:AN$31,MATCH($A18,May!$A$6:$A$31,0)),0)+IFERROR(INDEX(Jun!AN$6:AN$31,MATCH($A18,Jun!$A$6:$A$31,0)),0)+IFERROR(INDEX(Jul!AN$6:AN$31,MATCH($A18,Jul!$A$6:$A$31,0)),0)</f>
        <v>0</v>
      </c>
      <c r="P18" s="50" t="str">
        <f t="shared" si="6"/>
        <v/>
      </c>
      <c r="Q18" s="100">
        <f>IFERROR(INDEX(Aug!AO$6:AO$31,MATCH($A18,Aug!$A$6:$A$31,0)),0)+IFERROR(INDEX(Sep!AO$6:AO$31,MATCH($A18,Sep!$A$6:$A$31,0)),0)+IFERROR(INDEX(Oct!AO$6:AO$31,MATCH($A18,Oct!$A$6:$A$31,0)),0)+IFERROR(INDEX(Nov!AO$6:AO$31,MATCH($A18,Nov!$A$6:$A$31,0)),0)+IFERROR(INDEX(Dec!AO$6:AO$31,MATCH($A18,Dec!$A$6:$A$31,0)),0)+IFERROR(INDEX(Jan!AO$6:AO$32,MATCH($A18,Jan!$A$6:$A$32,0)),0)+IFERROR(INDEX(Feb!AO$6:AO$28,MATCH($A18,Feb!$A$6:$A$28,0)),0)+IFERROR(INDEX(Mar!AO$6:AO$31,MATCH($A18,Mar!$A$6:$A$31,0)),0)+IFERROR(INDEX(Apr!AO$6:AO$31,MATCH($A18,Apr!$A$6:$A$31,0)),0)+IFERROR(INDEX(May!AO$6:AO$31,MATCH($A18,May!$A$6:$A$31,0)),0)+IFERROR(INDEX(Jun!AO$6:AO$31,MATCH($A18,Jun!$A$6:$A$31,0)),0)+IFERROR(INDEX(Jul!AO$6:AO$31,MATCH($A18,Jul!$A$6:$A$31,0)),0)</f>
        <v>0</v>
      </c>
      <c r="R18" s="101" t="str">
        <f t="shared" si="7"/>
        <v/>
      </c>
      <c r="S18" s="81">
        <f>C18+E18+G18+I18+K18+M18+O18+Q18</f>
        <v>0</v>
      </c>
      <c r="T18" s="19"/>
    </row>
    <row r="19" spans="1:20" ht="18" customHeight="1" x14ac:dyDescent="0.25">
      <c r="A19" s="42">
        <v>10</v>
      </c>
      <c r="B19" s="76" t="s">
        <v>33</v>
      </c>
      <c r="C19" s="80">
        <f>IFERROR(INDEX(Aug!AH$6:AH$31,MATCH($A19,Aug!$A$6:$A$31,0)),0)+IFERROR(INDEX(Sep!AH$6:AH$31,MATCH($A19,Sep!$A$6:$A$31,0)),0)+IFERROR(INDEX(Oct!AH$6:AH$31,MATCH($A19,Oct!$A$6:$A$31,0)),0)+IFERROR(INDEX(Nov!AH$6:AH$31,MATCH($A19,Nov!$A$6:$A$31,0)),0)+IFERROR(INDEX(Dec!AH$6:AH$31,MATCH($A19,Dec!$A$6:$A$31,0)),0)+IFERROR(INDEX(Jan!AH$6:AH$32,MATCH($A19,Jan!$A$6:$A$32,0)),0)+IFERROR(INDEX(Feb!AH$6:AH$28,MATCH($A19,Feb!$A$6:$A$28,0)),0)+IFERROR(INDEX(Mar!AH$6:AH$31,MATCH($A19,Mar!$A$6:$A$31,0)),0)+IFERROR(INDEX(Apr!AH$6:AH$31,MATCH($A19,Apr!$A$6:$A$31,0)),0)+IFERROR(INDEX(May!AH$6:AH$31,MATCH($A19,May!$A$6:$A$31,0)),0)+IFERROR(INDEX(Jun!AH$6:AH$31,MATCH($A19,Jun!$A$6:$A$31,0)),0)+IFERROR(INDEX(Jul!AH$6:AH$31,MATCH($A19,Jul!$A$6:$A$31,0)),0)</f>
        <v>0</v>
      </c>
      <c r="D19" s="50" t="str">
        <f>IF(C19&gt;0, 11-C19, "")</f>
        <v/>
      </c>
      <c r="E19" s="80">
        <f>IFERROR(INDEX(Aug!AI$6:AI$31,MATCH($A19,Aug!$A$6:$A$31,0)),0)+IFERROR(INDEX(Sep!AI$6:AI$31,MATCH($A19,Sep!$A$6:$A$31,0)),0)+IFERROR(INDEX(Oct!AI$6:AI$31,MATCH($A19,Oct!$A$6:$A$31,0)),0)+IFERROR(INDEX(Nov!AI$6:AI$31,MATCH($A19,Nov!$A$6:$A$31,0)),0)+IFERROR(INDEX(Dec!AI$6:AI$31,MATCH($A19,Dec!$A$6:$A$31,0)),0)+IFERROR(INDEX(Jan!AI$6:AI$32,MATCH($A19,Jan!$A$6:$A$32,0)),0)+IFERROR(INDEX(Feb!AI$6:AI$28,MATCH($A19,Feb!$A$6:$A$28,0)),0)+IFERROR(INDEX(Mar!AI$6:AI$31,MATCH($A19,Mar!$A$6:$A$31,0)),0)+IFERROR(INDEX(Apr!AI$6:AI$31,MATCH($A19,Apr!$A$6:$A$31,0)),0)+IFERROR(INDEX(May!AI$6:AI$31,MATCH($A19,May!$A$6:$A$31,0)),0)+IFERROR(INDEX(Jun!AI$6:AI$31,MATCH($A19,Jun!$A$6:$A$31,0)),0)+IFERROR(INDEX(Jul!AI$6:AI$31,MATCH($A19,Jul!$A$6:$A$31,0)),0)</f>
        <v>0</v>
      </c>
      <c r="F19" s="89" t="str">
        <f>IF(E19&gt;0, 7-E19, "")</f>
        <v/>
      </c>
      <c r="G19" s="80">
        <f>IFERROR(INDEX(Aug!AJ$6:AJ$31,MATCH($A19,Aug!$A$6:$A$31,0)),0)+IFERROR(INDEX(Sep!AJ$6:AJ$31,MATCH($A19,Sep!$A$6:$A$31,0)),0)+IFERROR(INDEX(Oct!AJ$6:AJ$31,MATCH($A19,Oct!$A$6:$A$31,0)),0)+IFERROR(INDEX(Nov!AJ$6:AJ$31,MATCH($A19,Nov!$A$6:$A$31,0)),0)+IFERROR(INDEX(Dec!AJ$6:AJ$31,MATCH($A19,Dec!$A$6:$A$31,0)),0)+IFERROR(INDEX(Jan!AJ$6:AJ$32,MATCH($A19,Jan!$A$6:$A$32,0)),0)+IFERROR(INDEX(Feb!AJ$6:AJ$28,MATCH($A19,Feb!$A$6:$A$28,0)),0)+IFERROR(INDEX(Mar!AJ$6:AJ$31,MATCH($A19,Mar!$A$6:$A$31,0)),0)+IFERROR(INDEX(Apr!AJ$6:AJ$31,MATCH($A19,Apr!$A$6:$A$31,0)),0)+IFERROR(INDEX(May!AJ$6:AJ$31,MATCH($A19,May!$A$6:$A$31,0)),0)+IFERROR(INDEX(Jun!AJ$6:AJ$31,MATCH($A19,Jun!$A$6:$A$31,0)),0)+IFERROR(INDEX(Jul!AJ$6:AJ$31,MATCH($A19,Jul!$A$6:$A$31,0)),0)</f>
        <v>0</v>
      </c>
      <c r="H19" s="89" t="str">
        <f>IF(G19&gt;0, 5-G19, "")</f>
        <v/>
      </c>
      <c r="I19" s="80">
        <f>IFERROR(INDEX(Aug!AK$6:AK$31,MATCH($A19,Aug!$A$6:$A$31,0)),0)+IFERROR(INDEX(Sep!AK$6:AK$31,MATCH($A19,Sep!$A$6:$A$31,0)),0)+IFERROR(INDEX(Oct!AK$6:AK$31,MATCH($A19,Oct!$A$6:$A$31,0)),0)+IFERROR(INDEX(Nov!AK$6:AK$31,MATCH($A19,Nov!$A$6:$A$31,0)),0)+IFERROR(INDEX(Dec!AK$6:AK$31,MATCH($A19,Dec!$A$6:$A$31,0)),0)+IFERROR(INDEX(Jan!AK$6:AK$32,MATCH($A19,Jan!$A$6:$A$32,0)),0)+IFERROR(INDEX(Feb!AK$6:AK$28,MATCH($A19,Feb!$A$6:$A$28,0)),0)+IFERROR(INDEX(Mar!AK$6:AK$31,MATCH($A19,Mar!$A$6:$A$31,0)),0)+IFERROR(INDEX(Apr!AK$6:AK$31,MATCH($A19,Apr!$A$6:$A$31,0)),0)+IFERROR(INDEX(May!AK$6:AK$31,MATCH($A19,May!$A$6:$A$31,0)),0)+IFERROR(INDEX(Jun!AK$6:AK$31,MATCH($A19,Jun!$A$6:$A$31,0)),0)+IFERROR(INDEX(Jul!AK$6:AK$31,MATCH($A19,Jul!$A$6:$A$31,0)),0)</f>
        <v>0</v>
      </c>
      <c r="J19" s="89" t="str">
        <f t="shared" si="3"/>
        <v/>
      </c>
      <c r="K19" s="80">
        <f>IFERROR(INDEX(Aug!AL$6:AL$31,MATCH($A19,Aug!$A$6:$A$31,0)),0)+IFERROR(INDEX(Sep!AL$6:AL$31,MATCH($A19,Sep!$A$6:$A$31,0)),0)+IFERROR(INDEX(Oct!AL$6:AL$31,MATCH($A19,Oct!$A$6:$A$31,0)),0)+IFERROR(INDEX(Nov!AL$6:AL$31,MATCH($A19,Nov!$A$6:$A$31,0)),0)+IFERROR(INDEX(Dec!AL$6:AL$31,MATCH($A19,Dec!$A$6:$A$31,0)),0)+IFERROR(INDEX(Jan!AL$6:AL$32,MATCH($A19,Jan!$A$6:$A$32,0)),0)+IFERROR(INDEX(Feb!AL$6:AL$28,MATCH($A19,Feb!$A$6:$A$28,0)),0)+IFERROR(INDEX(Mar!AL$6:AL$31,MATCH($A19,Mar!$A$6:$A$31,0)),0)+IFERROR(INDEX(Apr!AL$6:AL$31,MATCH($A19,Apr!$A$6:$A$31,0)),0)+IFERROR(INDEX(May!AL$6:AL$31,MATCH($A19,May!$A$6:$A$31,0)),0)+IFERROR(INDEX(Jun!AL$6:AL$31,MATCH($A19,Jun!$A$6:$A$31,0)),0)+IFERROR(INDEX(Jul!AL$6:AL$31,MATCH($A19,Jul!$A$6:$A$31,0)),0)</f>
        <v>0</v>
      </c>
      <c r="L19" s="89" t="str">
        <f t="shared" si="4"/>
        <v/>
      </c>
      <c r="M19" s="80">
        <f>IFERROR(INDEX(Aug!AM$6:AM$31,MATCH($A19,Aug!$A$6:$A$31,0)),0)+IFERROR(INDEX(Sep!AM$6:AM$31,MATCH($A19,Sep!$A$6:$A$31,0)),0)+IFERROR(INDEX(Oct!AM$6:AM$31,MATCH($A19,Oct!$A$6:$A$31,0)),0)+IFERROR(INDEX(Nov!AM$6:AM$31,MATCH($A19,Nov!$A$6:$A$31,0)),0)+IFERROR(INDEX(Dec!AM$6:AM$31,MATCH($A19,Dec!$A$6:$A$31,0)),0)+IFERROR(INDEX(Jan!AM$6:AM$32,MATCH($A19,Jan!$A$6:$A$32,0)),0)+IFERROR(INDEX(Feb!AM$6:AM$28,MATCH($A19,Feb!$A$6:$A$28,0)),0)+IFERROR(INDEX(Mar!AM$6:AM$31,MATCH($A19,Mar!$A$6:$A$31,0)),0)+IFERROR(INDEX(Apr!AM$6:AM$31,MATCH($A19,Apr!$A$6:$A$31,0)),0)+IFERROR(INDEX(May!AM$6:AM$31,MATCH($A19,May!$A$6:$A$31,0)),0)+IFERROR(INDEX(Jun!AM$6:AM$31,MATCH($A19,Jun!$A$6:$A$31,0)),0)+IFERROR(INDEX(Jul!AM$6:AM$31,MATCH($A19,Jul!$A$6:$A$31,0)),0)</f>
        <v>0</v>
      </c>
      <c r="N19" s="89" t="str">
        <f t="shared" si="5"/>
        <v/>
      </c>
      <c r="O19" s="80">
        <f>IFERROR(INDEX(Aug!AN$6:AN$31,MATCH($A19,Aug!$A$6:$A$31,0)),0)+IFERROR(INDEX(Sep!AN$6:AN$31,MATCH($A19,Sep!$A$6:$A$31,0)),0)+IFERROR(INDEX(Oct!AN$6:AN$31,MATCH($A19,Oct!$A$6:$A$31,0)),0)+IFERROR(INDEX(Nov!AN$6:AN$31,MATCH($A19,Nov!$A$6:$A$31,0)),0)+IFERROR(INDEX(Dec!AN$6:AN$31,MATCH($A19,Dec!$A$6:$A$31,0)),0)+IFERROR(INDEX(Jan!AN$6:AN$32,MATCH($A19,Jan!$A$6:$A$32,0)),0)+IFERROR(INDEX(Feb!AN$6:AN$28,MATCH($A19,Feb!$A$6:$A$28,0)),0)+IFERROR(INDEX(Mar!AN$6:AN$31,MATCH($A19,Mar!$A$6:$A$31,0)),0)+IFERROR(INDEX(Apr!AN$6:AN$31,MATCH($A19,Apr!$A$6:$A$31,0)),0)+IFERROR(INDEX(May!AN$6:AN$31,MATCH($A19,May!$A$6:$A$31,0)),0)+IFERROR(INDEX(Jun!AN$6:AN$31,MATCH($A19,Jun!$A$6:$A$31,0)),0)+IFERROR(INDEX(Jul!AN$6:AN$31,MATCH($A19,Jul!$A$6:$A$31,0)),0)</f>
        <v>0</v>
      </c>
      <c r="P19" s="50" t="str">
        <f t="shared" si="6"/>
        <v/>
      </c>
      <c r="Q19" s="100">
        <f>IFERROR(INDEX(Aug!AO$6:AO$31,MATCH($A19,Aug!$A$6:$A$31,0)),0)+IFERROR(INDEX(Sep!AO$6:AO$31,MATCH($A19,Sep!$A$6:$A$31,0)),0)+IFERROR(INDEX(Oct!AO$6:AO$31,MATCH($A19,Oct!$A$6:$A$31,0)),0)+IFERROR(INDEX(Nov!AO$6:AO$31,MATCH($A19,Nov!$A$6:$A$31,0)),0)+IFERROR(INDEX(Dec!AO$6:AO$31,MATCH($A19,Dec!$A$6:$A$31,0)),0)+IFERROR(INDEX(Jan!AO$6:AO$32,MATCH($A19,Jan!$A$6:$A$32,0)),0)+IFERROR(INDEX(Feb!AO$6:AO$28,MATCH($A19,Feb!$A$6:$A$28,0)),0)+IFERROR(INDEX(Mar!AO$6:AO$31,MATCH($A19,Mar!$A$6:$A$31,0)),0)+IFERROR(INDEX(Apr!AO$6:AO$31,MATCH($A19,Apr!$A$6:$A$31,0)),0)+IFERROR(INDEX(May!AO$6:AO$31,MATCH($A19,May!$A$6:$A$31,0)),0)+IFERROR(INDEX(Jun!AO$6:AO$31,MATCH($A19,Jun!$A$6:$A$31,0)),0)+IFERROR(INDEX(Jul!AO$6:AO$31,MATCH($A19,Jul!$A$6:$A$31,0)),0)</f>
        <v>0</v>
      </c>
      <c r="R19" s="101" t="str">
        <f>IF(Q19&gt;0, 3-Q19, "")</f>
        <v/>
      </c>
      <c r="S19" s="81">
        <f>C19+E19+G19+I19+K19+M19+O19+Q19</f>
        <v>0</v>
      </c>
    </row>
    <row r="20" spans="1:20" ht="18" customHeight="1" x14ac:dyDescent="0.25">
      <c r="A20" s="42">
        <v>11</v>
      </c>
      <c r="B20" s="76" t="s">
        <v>34</v>
      </c>
      <c r="C20" s="80">
        <f>IFERROR(INDEX(Aug!AH$6:AH$31,MATCH($A20,Aug!$A$6:$A$31,0)),0)+IFERROR(INDEX(Sep!AH$6:AH$31,MATCH($A20,Sep!$A$6:$A$31,0)),0)+IFERROR(INDEX(Oct!AH$6:AH$31,MATCH($A20,Oct!$A$6:$A$31,0)),0)+IFERROR(INDEX(Nov!AH$6:AH$31,MATCH($A20,Nov!$A$6:$A$31,0)),0)+IFERROR(INDEX(Dec!AH$6:AH$31,MATCH($A20,Dec!$A$6:$A$31,0)),0)+IFERROR(INDEX(Jan!AH$6:AH$32,MATCH($A20,Jan!$A$6:$A$32,0)),0)+IFERROR(INDEX(Feb!AH$6:AH$28,MATCH($A20,Feb!$A$6:$A$28,0)),0)+IFERROR(INDEX(Mar!AH$6:AH$31,MATCH($A20,Mar!$A$6:$A$31,0)),0)+IFERROR(INDEX(Apr!AH$6:AH$31,MATCH($A20,Apr!$A$6:$A$31,0)),0)+IFERROR(INDEX(May!AH$6:AH$31,MATCH($A20,May!$A$6:$A$31,0)),0)+IFERROR(INDEX(Jun!AH$6:AH$31,MATCH($A20,Jun!$A$6:$A$31,0)),0)+IFERROR(INDEX(Jul!AH$6:AH$31,MATCH($A20,Jul!$A$6:$A$31,0)),0)</f>
        <v>0</v>
      </c>
      <c r="D20" s="50" t="str">
        <f t="shared" si="0"/>
        <v/>
      </c>
      <c r="E20" s="80">
        <f>IFERROR(INDEX(Aug!AI$6:AI$31,MATCH($A20,Aug!$A$6:$A$31,0)),0)+IFERROR(INDEX(Sep!AI$6:AI$31,MATCH($A20,Sep!$A$6:$A$31,0)),0)+IFERROR(INDEX(Oct!AI$6:AI$31,MATCH($A20,Oct!$A$6:$A$31,0)),0)+IFERROR(INDEX(Nov!AI$6:AI$31,MATCH($A20,Nov!$A$6:$A$31,0)),0)+IFERROR(INDEX(Dec!AI$6:AI$31,MATCH($A20,Dec!$A$6:$A$31,0)),0)+IFERROR(INDEX(Jan!AI$6:AI$32,MATCH($A20,Jan!$A$6:$A$32,0)),0)+IFERROR(INDEX(Feb!AI$6:AI$28,MATCH($A20,Feb!$A$6:$A$28,0)),0)+IFERROR(INDEX(Mar!AI$6:AI$31,MATCH($A20,Mar!$A$6:$A$31,0)),0)+IFERROR(INDEX(Apr!AI$6:AI$31,MATCH($A20,Apr!$A$6:$A$31,0)),0)+IFERROR(INDEX(May!AI$6:AI$31,MATCH($A20,May!$A$6:$A$31,0)),0)+IFERROR(INDEX(Jun!AI$6:AI$31,MATCH($A20,Jun!$A$6:$A$31,0)),0)+IFERROR(INDEX(Jul!AI$6:AI$31,MATCH($A20,Jul!$A$6:$A$31,0)),0)</f>
        <v>0</v>
      </c>
      <c r="F20" s="89" t="str">
        <f t="shared" si="1"/>
        <v/>
      </c>
      <c r="G20" s="80">
        <f>IFERROR(INDEX(Aug!AJ$6:AJ$31,MATCH($A20,Aug!$A$6:$A$31,0)),0)+IFERROR(INDEX(Sep!AJ$6:AJ$31,MATCH($A20,Sep!$A$6:$A$31,0)),0)+IFERROR(INDEX(Oct!AJ$6:AJ$31,MATCH($A20,Oct!$A$6:$A$31,0)),0)+IFERROR(INDEX(Nov!AJ$6:AJ$31,MATCH($A20,Nov!$A$6:$A$31,0)),0)+IFERROR(INDEX(Dec!AJ$6:AJ$31,MATCH($A20,Dec!$A$6:$A$31,0)),0)+IFERROR(INDEX(Jan!AJ$6:AJ$32,MATCH($A20,Jan!$A$6:$A$32,0)),0)+IFERROR(INDEX(Feb!AJ$6:AJ$28,MATCH($A20,Feb!$A$6:$A$28,0)),0)+IFERROR(INDEX(Mar!AJ$6:AJ$31,MATCH($A20,Mar!$A$6:$A$31,0)),0)+IFERROR(INDEX(Apr!AJ$6:AJ$31,MATCH($A20,Apr!$A$6:$A$31,0)),0)+IFERROR(INDEX(May!AJ$6:AJ$31,MATCH($A20,May!$A$6:$A$31,0)),0)+IFERROR(INDEX(Jun!AJ$6:AJ$31,MATCH($A20,Jun!$A$6:$A$31,0)),0)+IFERROR(INDEX(Jul!AJ$6:AJ$31,MATCH($A20,Jul!$A$6:$A$31,0)),0)</f>
        <v>0</v>
      </c>
      <c r="H20" s="89" t="str">
        <f t="shared" si="2"/>
        <v/>
      </c>
      <c r="I20" s="80">
        <f>IFERROR(INDEX(Aug!AK$6:AK$31,MATCH($A20,Aug!$A$6:$A$31,0)),0)+IFERROR(INDEX(Sep!AK$6:AK$31,MATCH($A20,Sep!$A$6:$A$31,0)),0)+IFERROR(INDEX(Oct!AK$6:AK$31,MATCH($A20,Oct!$A$6:$A$31,0)),0)+IFERROR(INDEX(Nov!AK$6:AK$31,MATCH($A20,Nov!$A$6:$A$31,0)),0)+IFERROR(INDEX(Dec!AK$6:AK$31,MATCH($A20,Dec!$A$6:$A$31,0)),0)+IFERROR(INDEX(Jan!AK$6:AK$32,MATCH($A20,Jan!$A$6:$A$32,0)),0)+IFERROR(INDEX(Feb!AK$6:AK$28,MATCH($A20,Feb!$A$6:$A$28,0)),0)+IFERROR(INDEX(Mar!AK$6:AK$31,MATCH($A20,Mar!$A$6:$A$31,0)),0)+IFERROR(INDEX(Apr!AK$6:AK$31,MATCH($A20,Apr!$A$6:$A$31,0)),0)+IFERROR(INDEX(May!AK$6:AK$31,MATCH($A20,May!$A$6:$A$31,0)),0)+IFERROR(INDEX(Jun!AK$6:AK$31,MATCH($A20,Jun!$A$6:$A$31,0)),0)+IFERROR(INDEX(Jul!AK$6:AK$31,MATCH($A20,Jul!$A$6:$A$31,0)),0)</f>
        <v>0</v>
      </c>
      <c r="J20" s="89" t="str">
        <f t="shared" si="3"/>
        <v/>
      </c>
      <c r="K20" s="80">
        <f>IFERROR(INDEX(Aug!AL$6:AL$31,MATCH($A20,Aug!$A$6:$A$31,0)),0)+IFERROR(INDEX(Sep!AL$6:AL$31,MATCH($A20,Sep!$A$6:$A$31,0)),0)+IFERROR(INDEX(Oct!AL$6:AL$31,MATCH($A20,Oct!$A$6:$A$31,0)),0)+IFERROR(INDEX(Nov!AL$6:AL$31,MATCH($A20,Nov!$A$6:$A$31,0)),0)+IFERROR(INDEX(Dec!AL$6:AL$31,MATCH($A20,Dec!$A$6:$A$31,0)),0)+IFERROR(INDEX(Jan!AL$6:AL$32,MATCH($A20,Jan!$A$6:$A$32,0)),0)+IFERROR(INDEX(Feb!AL$6:AL$28,MATCH($A20,Feb!$A$6:$A$28,0)),0)+IFERROR(INDEX(Mar!AL$6:AL$31,MATCH($A20,Mar!$A$6:$A$31,0)),0)+IFERROR(INDEX(Apr!AL$6:AL$31,MATCH($A20,Apr!$A$6:$A$31,0)),0)+IFERROR(INDEX(May!AL$6:AL$31,MATCH($A20,May!$A$6:$A$31,0)),0)+IFERROR(INDEX(Jun!AL$6:AL$31,MATCH($A20,Jun!$A$6:$A$31,0)),0)+IFERROR(INDEX(Jul!AL$6:AL$31,MATCH($A20,Jul!$A$6:$A$31,0)),0)</f>
        <v>0</v>
      </c>
      <c r="L20" s="89" t="str">
        <f t="shared" si="4"/>
        <v/>
      </c>
      <c r="M20" s="80">
        <f>IFERROR(INDEX(Aug!AM$6:AM$31,MATCH($A20,Aug!$A$6:$A$31,0)),0)+IFERROR(INDEX(Sep!AM$6:AM$31,MATCH($A20,Sep!$A$6:$A$31,0)),0)+IFERROR(INDEX(Oct!AM$6:AM$31,MATCH($A20,Oct!$A$6:$A$31,0)),0)+IFERROR(INDEX(Nov!AM$6:AM$31,MATCH($A20,Nov!$A$6:$A$31,0)),0)+IFERROR(INDEX(Dec!AM$6:AM$31,MATCH($A20,Dec!$A$6:$A$31,0)),0)+IFERROR(INDEX(Jan!AM$6:AM$32,MATCH($A20,Jan!$A$6:$A$32,0)),0)+IFERROR(INDEX(Feb!AM$6:AM$28,MATCH($A20,Feb!$A$6:$A$28,0)),0)+IFERROR(INDEX(Mar!AM$6:AM$31,MATCH($A20,Mar!$A$6:$A$31,0)),0)+IFERROR(INDEX(Apr!AM$6:AM$31,MATCH($A20,Apr!$A$6:$A$31,0)),0)+IFERROR(INDEX(May!AM$6:AM$31,MATCH($A20,May!$A$6:$A$31,0)),0)+IFERROR(INDEX(Jun!AM$6:AM$31,MATCH($A20,Jun!$A$6:$A$31,0)),0)+IFERROR(INDEX(Jul!AM$6:AM$31,MATCH($A20,Jul!$A$6:$A$31,0)),0)</f>
        <v>0</v>
      </c>
      <c r="N20" s="89" t="str">
        <f t="shared" si="5"/>
        <v/>
      </c>
      <c r="O20" s="80">
        <f>IFERROR(INDEX(Aug!AN$6:AN$31,MATCH($A20,Aug!$A$6:$A$31,0)),0)+IFERROR(INDEX(Sep!AN$6:AN$31,MATCH($A20,Sep!$A$6:$A$31,0)),0)+IFERROR(INDEX(Oct!AN$6:AN$31,MATCH($A20,Oct!$A$6:$A$31,0)),0)+IFERROR(INDEX(Nov!AN$6:AN$31,MATCH($A20,Nov!$A$6:$A$31,0)),0)+IFERROR(INDEX(Dec!AN$6:AN$31,MATCH($A20,Dec!$A$6:$A$31,0)),0)+IFERROR(INDEX(Jan!AN$6:AN$32,MATCH($A20,Jan!$A$6:$A$32,0)),0)+IFERROR(INDEX(Feb!AN$6:AN$28,MATCH($A20,Feb!$A$6:$A$28,0)),0)+IFERROR(INDEX(Mar!AN$6:AN$31,MATCH($A20,Mar!$A$6:$A$31,0)),0)+IFERROR(INDEX(Apr!AN$6:AN$31,MATCH($A20,Apr!$A$6:$A$31,0)),0)+IFERROR(INDEX(May!AN$6:AN$31,MATCH($A20,May!$A$6:$A$31,0)),0)+IFERROR(INDEX(Jun!AN$6:AN$31,MATCH($A20,Jun!$A$6:$A$31,0)),0)+IFERROR(INDEX(Jul!AN$6:AN$31,MATCH($A20,Jul!$A$6:$A$31,0)),0)</f>
        <v>0</v>
      </c>
      <c r="P20" s="50" t="str">
        <f t="shared" si="6"/>
        <v/>
      </c>
      <c r="Q20" s="100">
        <f>IFERROR(INDEX(Aug!AO$6:AO$31,MATCH($A20,Aug!$A$6:$A$31,0)),0)+IFERROR(INDEX(Sep!AO$6:AO$31,MATCH($A20,Sep!$A$6:$A$31,0)),0)+IFERROR(INDEX(Oct!AO$6:AO$31,MATCH($A20,Oct!$A$6:$A$31,0)),0)+IFERROR(INDEX(Nov!AO$6:AO$31,MATCH($A20,Nov!$A$6:$A$31,0)),0)+IFERROR(INDEX(Dec!AO$6:AO$31,MATCH($A20,Dec!$A$6:$A$31,0)),0)+IFERROR(INDEX(Jan!AO$6:AO$32,MATCH($A20,Jan!$A$6:$A$32,0)),0)+IFERROR(INDEX(Feb!AO$6:AO$28,MATCH($A20,Feb!$A$6:$A$28,0)),0)+IFERROR(INDEX(Mar!AO$6:AO$31,MATCH($A20,Mar!$A$6:$A$31,0)),0)+IFERROR(INDEX(Apr!AO$6:AO$31,MATCH($A20,Apr!$A$6:$A$31,0)),0)+IFERROR(INDEX(May!AO$6:AO$31,MATCH($A20,May!$A$6:$A$31,0)),0)+IFERROR(INDEX(Jun!AO$6:AO$31,MATCH($A20,Jun!$A$6:$A$31,0)),0)+IFERROR(INDEX(Jul!AO$6:AO$31,MATCH($A20,Jul!$A$6:$A$31,0)),0)</f>
        <v>0</v>
      </c>
      <c r="R20" s="101" t="str">
        <f t="shared" si="7"/>
        <v/>
      </c>
      <c r="S20" s="81">
        <f>C20+E20+G20+I20+K20+M20+O20+Q20</f>
        <v>0</v>
      </c>
    </row>
    <row r="21" spans="1:20" ht="18" customHeight="1" x14ac:dyDescent="0.25">
      <c r="A21" s="42">
        <v>18</v>
      </c>
      <c r="B21" s="76" t="s">
        <v>58</v>
      </c>
      <c r="C21" s="80">
        <f>IFERROR(INDEX(Aug!AH$6:AH$31,MATCH($A21,Aug!$A$6:$A$31,0)),0)+IFERROR(INDEX(Sep!AH$6:AH$31,MATCH($A21,Sep!$A$6:$A$31,0)),0)+IFERROR(INDEX(Oct!AH$6:AH$31,MATCH($A21,Oct!$A$6:$A$31,0)),0)+IFERROR(INDEX(Nov!AH$6:AH$31,MATCH($A21,Nov!$A$6:$A$31,0)),0)+IFERROR(INDEX(Dec!AH$6:AH$31,MATCH($A21,Dec!$A$6:$A$31,0)),0)+IFERROR(INDEX(Jan!AH$6:AH$32,MATCH($A21,Jan!$A$6:$A$32,0)),0)+IFERROR(INDEX(Feb!AH$6:AH$28,MATCH($A21,Feb!$A$6:$A$28,0)),0)+IFERROR(INDEX(Mar!AH$6:AH$31,MATCH($A21,Mar!$A$6:$A$31,0)),0)+IFERROR(INDEX(Apr!AH$6:AH$31,MATCH($A21,Apr!$A$6:$A$31,0)),0)+IFERROR(INDEX(May!AH$6:AH$31,MATCH($A21,May!$A$6:$A$31,0)),0)+IFERROR(INDEX(Jun!AH$6:AH$31,MATCH($A21,Jun!$A$6:$A$31,0)),0)+IFERROR(INDEX(Jul!AH$6:AH$31,MATCH($A21,Jul!$A$6:$A$31,0)),0)</f>
        <v>0</v>
      </c>
      <c r="D21" s="50" t="str">
        <f>IF(C21&gt;0, 13-C21, "")</f>
        <v/>
      </c>
      <c r="E21" s="80">
        <f>IFERROR(INDEX(Aug!AI$6:AI$31,MATCH($A21,Aug!$A$6:$A$31,0)),0)+IFERROR(INDEX(Sep!AI$6:AI$31,MATCH($A21,Sep!$A$6:$A$31,0)),0)+IFERROR(INDEX(Oct!AI$6:AI$31,MATCH($A21,Oct!$A$6:$A$31,0)),0)+IFERROR(INDEX(Nov!AI$6:AI$31,MATCH($A21,Nov!$A$6:$A$31,0)),0)+IFERROR(INDEX(Dec!AI$6:AI$31,MATCH($A21,Dec!$A$6:$A$31,0)),0)+IFERROR(INDEX(Jan!AI$6:AI$32,MATCH($A21,Jan!$A$6:$A$32,0)),0)+IFERROR(INDEX(Feb!AI$6:AI$28,MATCH($A21,Feb!$A$6:$A$28,0)),0)+IFERROR(INDEX(Mar!AI$6:AI$31,MATCH($A21,Mar!$A$6:$A$31,0)),0)+IFERROR(INDEX(Apr!AI$6:AI$31,MATCH($A21,Apr!$A$6:$A$31,0)),0)+IFERROR(INDEX(May!AI$6:AI$31,MATCH($A21,May!$A$6:$A$31,0)),0)+IFERROR(INDEX(Jun!AI$6:AI$31,MATCH($A21,Jun!$A$6:$A$31,0)),0)+IFERROR(INDEX(Jul!AI$6:AI$31,MATCH($A21,Jul!$A$6:$A$31,0)),0)</f>
        <v>0</v>
      </c>
      <c r="F21" s="89" t="str">
        <f>IF(E21&gt;0, 9-E21, "")</f>
        <v/>
      </c>
      <c r="G21" s="80">
        <f>IFERROR(INDEX(Aug!AJ$6:AJ$31,MATCH($A21,Aug!$A$6:$A$31,0)),0)+IFERROR(INDEX(Sep!AJ$6:AJ$31,MATCH($A21,Sep!$A$6:$A$31,0)),0)+IFERROR(INDEX(Oct!AJ$6:AJ$31,MATCH($A21,Oct!$A$6:$A$31,0)),0)+IFERROR(INDEX(Nov!AJ$6:AJ$31,MATCH($A21,Nov!$A$6:$A$31,0)),0)+IFERROR(INDEX(Dec!AJ$6:AJ$31,MATCH($A21,Dec!$A$6:$A$31,0)),0)+IFERROR(INDEX(Jan!AJ$6:AJ$32,MATCH($A21,Jan!$A$6:$A$32,0)),0)+IFERROR(INDEX(Feb!AJ$6:AJ$28,MATCH($A21,Feb!$A$6:$A$28,0)),0)+IFERROR(INDEX(Mar!AJ$6:AJ$31,MATCH($A21,Mar!$A$6:$A$31,0)),0)+IFERROR(INDEX(Apr!AJ$6:AJ$31,MATCH($A21,Apr!$A$6:$A$31,0)),0)+IFERROR(INDEX(May!AJ$6:AJ$31,MATCH($A21,May!$A$6:$A$31,0)),0)+IFERROR(INDEX(Jun!AJ$6:AJ$31,MATCH($A21,Jun!$A$6:$A$31,0)),0)+IFERROR(INDEX(Jul!AJ$6:AJ$31,MATCH($A21,Jul!$A$6:$A$31,0)),0)</f>
        <v>0</v>
      </c>
      <c r="H21" s="89" t="str">
        <f>IF(G21&gt;0, 50-G21, "")</f>
        <v/>
      </c>
      <c r="I21" s="80">
        <f>IFERROR(INDEX(Aug!AK$6:AK$31,MATCH($A21,Aug!$A$6:$A$31,0)),0)+IFERROR(INDEX(Sep!AK$6:AK$31,MATCH($A21,Sep!$A$6:$A$31,0)),0)+IFERROR(INDEX(Oct!AK$6:AK$31,MATCH($A21,Oct!$A$6:$A$31,0)),0)+IFERROR(INDEX(Nov!AK$6:AK$31,MATCH($A21,Nov!$A$6:$A$31,0)),0)+IFERROR(INDEX(Dec!AK$6:AK$31,MATCH($A21,Dec!$A$6:$A$31,0)),0)+IFERROR(INDEX(Jan!AK$6:AK$32,MATCH($A21,Jan!$A$6:$A$32,0)),0)+IFERROR(INDEX(Feb!AK$6:AK$28,MATCH($A21,Feb!$A$6:$A$28,0)),0)+IFERROR(INDEX(Mar!AK$6:AK$31,MATCH($A21,Mar!$A$6:$A$31,0)),0)+IFERROR(INDEX(Apr!AK$6:AK$31,MATCH($A21,Apr!$A$6:$A$31,0)),0)+IFERROR(INDEX(May!AK$6:AK$31,MATCH($A21,May!$A$6:$A$31,0)),0)+IFERROR(INDEX(Jun!AK$6:AK$31,MATCH($A21,Jun!$A$6:$A$31,0)),0)+IFERROR(INDEX(Jul!AK$6:AK$31,MATCH($A21,Jul!$A$6:$A$31,0)),0)</f>
        <v>0</v>
      </c>
      <c r="J21" s="89" t="str">
        <f t="shared" si="3"/>
        <v/>
      </c>
      <c r="K21" s="80">
        <f>IFERROR(INDEX(Aug!AL$6:AL$31,MATCH($A21,Aug!$A$6:$A$31,0)),0)+IFERROR(INDEX(Sep!AL$6:AL$31,MATCH($A21,Sep!$A$6:$A$31,0)),0)+IFERROR(INDEX(Oct!AL$6:AL$31,MATCH($A21,Oct!$A$6:$A$31,0)),0)+IFERROR(INDEX(Nov!AL$6:AL$31,MATCH($A21,Nov!$A$6:$A$31,0)),0)+IFERROR(INDEX(Dec!AL$6:AL$31,MATCH($A21,Dec!$A$6:$A$31,0)),0)+IFERROR(INDEX(Jan!AL$6:AL$32,MATCH($A21,Jan!$A$6:$A$32,0)),0)+IFERROR(INDEX(Feb!AL$6:AL$28,MATCH($A21,Feb!$A$6:$A$28,0)),0)+IFERROR(INDEX(Mar!AL$6:AL$31,MATCH($A21,Mar!$A$6:$A$31,0)),0)+IFERROR(INDEX(Apr!AL$6:AL$31,MATCH($A21,Apr!$A$6:$A$31,0)),0)+IFERROR(INDEX(May!AL$6:AL$31,MATCH($A21,May!$A$6:$A$31,0)),0)+IFERROR(INDEX(Jun!AL$6:AL$31,MATCH($A21,Jun!$A$6:$A$31,0)),0)+IFERROR(INDEX(Jul!AL$6:AL$31,MATCH($A21,Jul!$A$6:$A$31,0)),0)</f>
        <v>0</v>
      </c>
      <c r="L21" s="89" t="str">
        <f t="shared" si="4"/>
        <v/>
      </c>
      <c r="M21" s="80">
        <f>IFERROR(INDEX(Aug!AM$6:AM$31,MATCH($A21,Aug!$A$6:$A$31,0)),0)+IFERROR(INDEX(Sep!AM$6:AM$31,MATCH($A21,Sep!$A$6:$A$31,0)),0)+IFERROR(INDEX(Oct!AM$6:AM$31,MATCH($A21,Oct!$A$6:$A$31,0)),0)+IFERROR(INDEX(Nov!AM$6:AM$31,MATCH($A21,Nov!$A$6:$A$31,0)),0)+IFERROR(INDEX(Dec!AM$6:AM$31,MATCH($A21,Dec!$A$6:$A$31,0)),0)+IFERROR(INDEX(Jan!AM$6:AM$32,MATCH($A21,Jan!$A$6:$A$32,0)),0)+IFERROR(INDEX(Feb!AM$6:AM$28,MATCH($A21,Feb!$A$6:$A$28,0)),0)+IFERROR(INDEX(Mar!AM$6:AM$31,MATCH($A21,Mar!$A$6:$A$31,0)),0)+IFERROR(INDEX(Apr!AM$6:AM$31,MATCH($A21,Apr!$A$6:$A$31,0)),0)+IFERROR(INDEX(May!AM$6:AM$31,MATCH($A21,May!$A$6:$A$31,0)),0)+IFERROR(INDEX(Jun!AM$6:AM$31,MATCH($A21,Jun!$A$6:$A$31,0)),0)+IFERROR(INDEX(Jul!AM$6:AM$31,MATCH($A21,Jul!$A$6:$A$31,0)),0)</f>
        <v>0</v>
      </c>
      <c r="N21" s="89" t="str">
        <f t="shared" si="5"/>
        <v/>
      </c>
      <c r="O21" s="80">
        <f>IFERROR(INDEX(Aug!AN$6:AN$31,MATCH($A21,Aug!$A$6:$A$31,0)),0)+IFERROR(INDEX(Sep!AN$6:AN$31,MATCH($A21,Sep!$A$6:$A$31,0)),0)+IFERROR(INDEX(Oct!AN$6:AN$31,MATCH($A21,Oct!$A$6:$A$31,0)),0)+IFERROR(INDEX(Nov!AN$6:AN$31,MATCH($A21,Nov!$A$6:$A$31,0)),0)+IFERROR(INDEX(Dec!AN$6:AN$31,MATCH($A21,Dec!$A$6:$A$31,0)),0)+IFERROR(INDEX(Jan!AN$6:AN$32,MATCH($A21,Jan!$A$6:$A$32,0)),0)+IFERROR(INDEX(Feb!AN$6:AN$28,MATCH($A21,Feb!$A$6:$A$28,0)),0)+IFERROR(INDEX(Mar!AN$6:AN$31,MATCH($A21,Mar!$A$6:$A$31,0)),0)+IFERROR(INDEX(Apr!AN$6:AN$31,MATCH($A21,Apr!$A$6:$A$31,0)),0)+IFERROR(INDEX(May!AN$6:AN$31,MATCH($A21,May!$A$6:$A$31,0)),0)+IFERROR(INDEX(Jun!AN$6:AN$31,MATCH($A21,Jun!$A$6:$A$31,0)),0)+IFERROR(INDEX(Jul!AN$6:AN$31,MATCH($A21,Jul!$A$6:$A$31,0)),0)</f>
        <v>0</v>
      </c>
      <c r="P21" s="50" t="str">
        <f t="shared" si="6"/>
        <v/>
      </c>
      <c r="Q21" s="100">
        <f>IFERROR(INDEX(Aug!AO$6:AO$31,MATCH($A21,Aug!$A$6:$A$31,0)),0)+IFERROR(INDEX(Sep!AO$6:AO$31,MATCH($A21,Sep!$A$6:$A$31,0)),0)+IFERROR(INDEX(Oct!AO$6:AO$31,MATCH($A21,Oct!$A$6:$A$31,0)),0)+IFERROR(INDEX(Nov!AO$6:AO$31,MATCH($A21,Nov!$A$6:$A$31,0)),0)+IFERROR(INDEX(Dec!AO$6:AO$31,MATCH($A21,Dec!$A$6:$A$31,0)),0)+IFERROR(INDEX(Jan!AO$6:AO$32,MATCH($A21,Jan!$A$6:$A$32,0)),0)+IFERROR(INDEX(Feb!AO$6:AO$28,MATCH($A21,Feb!$A$6:$A$28,0)),0)+IFERROR(INDEX(Mar!AO$6:AO$31,MATCH($A21,Mar!$A$6:$A$31,0)),0)+IFERROR(INDEX(Apr!AO$6:AO$31,MATCH($A21,Apr!$A$6:$A$31,0)),0)+IFERROR(INDEX(May!AO$6:AO$31,MATCH($A21,May!$A$6:$A$31,0)),0)+IFERROR(INDEX(Jun!AO$6:AO$31,MATCH($A21,Jun!$A$6:$A$31,0)),0)+IFERROR(INDEX(Jul!AO$6:AO$31,MATCH($A21,Jul!$A$6:$A$31,0)),0)</f>
        <v>0</v>
      </c>
      <c r="R21" s="101" t="str">
        <f>IF(Q21&gt;0, 4-Q21, "")</f>
        <v/>
      </c>
      <c r="S21" s="81">
        <f>C21+E21+G21+I21+K21+M21+O21+Q21</f>
        <v>0</v>
      </c>
    </row>
    <row r="22" spans="1:20" ht="18" customHeight="1" x14ac:dyDescent="0.25">
      <c r="A22" s="42">
        <v>19</v>
      </c>
      <c r="B22" s="76"/>
      <c r="C22" s="80">
        <f>IFERROR(INDEX(Aug!AH$6:AH$31,MATCH($A22,Aug!$A$6:$A$31,0)),0)+IFERROR(INDEX(Sep!AH$6:AH$31,MATCH($A22,Sep!$A$6:$A$31,0)),0)+IFERROR(INDEX(Oct!AH$6:AH$31,MATCH($A22,Oct!$A$6:$A$31,0)),0)+IFERROR(INDEX(Nov!AH$6:AH$31,MATCH($A22,Nov!$A$6:$A$31,0)),0)+IFERROR(INDEX(Dec!AH$6:AH$31,MATCH($A22,Dec!$A$6:$A$31,0)),0)+IFERROR(INDEX(Jan!AH$6:AH$32,MATCH($A22,Jan!$A$6:$A$32,0)),0)+IFERROR(INDEX(Feb!AH$6:AH$28,MATCH($A22,Feb!$A$6:$A$28,0)),0)+IFERROR(INDEX(Mar!AH$6:AH$31,MATCH($A22,Mar!$A$6:$A$31,0)),0)+IFERROR(INDEX(Apr!AH$6:AH$31,MATCH($A22,Apr!$A$6:$A$31,0)),0)+IFERROR(INDEX(May!AH$6:AH$31,MATCH($A22,May!$A$6:$A$31,0)),0)+IFERROR(INDEX(Jun!AH$6:AH$31,MATCH($A22,Jun!$A$6:$A$31,0)),0)+IFERROR(INDEX(Jul!AH$6:AH$31,MATCH($A22,Jul!$A$6:$A$31,0)),0)</f>
        <v>0</v>
      </c>
      <c r="D22" s="50" t="str">
        <f t="shared" si="0"/>
        <v/>
      </c>
      <c r="E22" s="80">
        <f>IFERROR(INDEX(Aug!AI$6:AI$31,MATCH($A22,Aug!$A$6:$A$31,0)),0)+IFERROR(INDEX(Sep!AI$6:AI$31,MATCH($A22,Sep!$A$6:$A$31,0)),0)+IFERROR(INDEX(Oct!AI$6:AI$31,MATCH($A22,Oct!$A$6:$A$31,0)),0)+IFERROR(INDEX(Nov!AI$6:AI$31,MATCH($A22,Nov!$A$6:$A$31,0)),0)+IFERROR(INDEX(Dec!AI$6:AI$31,MATCH($A22,Dec!$A$6:$A$31,0)),0)+IFERROR(INDEX(Jan!AI$6:AI$32,MATCH($A22,Jan!$A$6:$A$32,0)),0)+IFERROR(INDEX(Feb!AI$6:AI$28,MATCH($A22,Feb!$A$6:$A$28,0)),0)+IFERROR(INDEX(Mar!AI$6:AI$31,MATCH($A22,Mar!$A$6:$A$31,0)),0)+IFERROR(INDEX(Apr!AI$6:AI$31,MATCH($A22,Apr!$A$6:$A$31,0)),0)+IFERROR(INDEX(May!AI$6:AI$31,MATCH($A22,May!$A$6:$A$31,0)),0)+IFERROR(INDEX(Jun!AI$6:AI$31,MATCH($A22,Jun!$A$6:$A$31,0)),0)+IFERROR(INDEX(Jul!AI$6:AI$31,MATCH($A22,Jul!$A$6:$A$31,0)),0)</f>
        <v>0</v>
      </c>
      <c r="F22" s="89" t="str">
        <f t="shared" si="1"/>
        <v/>
      </c>
      <c r="G22" s="80">
        <f>IFERROR(INDEX(Aug!AJ$6:AJ$31,MATCH($A22,Aug!$A$6:$A$31,0)),0)+IFERROR(INDEX(Sep!AJ$6:AJ$31,MATCH($A22,Sep!$A$6:$A$31,0)),0)+IFERROR(INDEX(Oct!AJ$6:AJ$31,MATCH($A22,Oct!$A$6:$A$31,0)),0)+IFERROR(INDEX(Nov!AJ$6:AJ$31,MATCH($A22,Nov!$A$6:$A$31,0)),0)+IFERROR(INDEX(Dec!AJ$6:AJ$31,MATCH($A22,Dec!$A$6:$A$31,0)),0)+IFERROR(INDEX(Jan!AJ$6:AJ$32,MATCH($A22,Jan!$A$6:$A$32,0)),0)+IFERROR(INDEX(Feb!AJ$6:AJ$28,MATCH($A22,Feb!$A$6:$A$28,0)),0)+IFERROR(INDEX(Mar!AJ$6:AJ$31,MATCH($A22,Mar!$A$6:$A$31,0)),0)+IFERROR(INDEX(Apr!AJ$6:AJ$31,MATCH($A22,Apr!$A$6:$A$31,0)),0)+IFERROR(INDEX(May!AJ$6:AJ$31,MATCH($A22,May!$A$6:$A$31,0)),0)+IFERROR(INDEX(Jun!AJ$6:AJ$31,MATCH($A22,Jun!$A$6:$A$31,0)),0)+IFERROR(INDEX(Jul!AJ$6:AJ$31,MATCH($A22,Jul!$A$6:$A$31,0)),0)</f>
        <v>0</v>
      </c>
      <c r="H22" s="89" t="str">
        <f t="shared" si="2"/>
        <v/>
      </c>
      <c r="I22" s="80">
        <f>IFERROR(INDEX(Aug!AK$6:AK$31,MATCH($A22,Aug!$A$6:$A$31,0)),0)+IFERROR(INDEX(Sep!AK$6:AK$31,MATCH($A22,Sep!$A$6:$A$31,0)),0)+IFERROR(INDEX(Oct!AK$6:AK$31,MATCH($A22,Oct!$A$6:$A$31,0)),0)+IFERROR(INDEX(Nov!AK$6:AK$31,MATCH($A22,Nov!$A$6:$A$31,0)),0)+IFERROR(INDEX(Dec!AK$6:AK$31,MATCH($A22,Dec!$A$6:$A$31,0)),0)+IFERROR(INDEX(Jan!AK$6:AK$32,MATCH($A22,Jan!$A$6:$A$32,0)),0)+IFERROR(INDEX(Feb!AK$6:AK$28,MATCH($A22,Feb!$A$6:$A$28,0)),0)+IFERROR(INDEX(Mar!AK$6:AK$31,MATCH($A22,Mar!$A$6:$A$31,0)),0)+IFERROR(INDEX(Apr!AK$6:AK$31,MATCH($A22,Apr!$A$6:$A$31,0)),0)+IFERROR(INDEX(May!AK$6:AK$31,MATCH($A22,May!$A$6:$A$31,0)),0)+IFERROR(INDEX(Jun!AK$6:AK$31,MATCH($A22,Jun!$A$6:$A$31,0)),0)+IFERROR(INDEX(Jul!AK$6:AK$31,MATCH($A22,Jul!$A$6:$A$31,0)),0)</f>
        <v>0</v>
      </c>
      <c r="J22" s="89" t="str">
        <f t="shared" si="3"/>
        <v/>
      </c>
      <c r="K22" s="80">
        <f>IFERROR(INDEX(Aug!AL$6:AL$31,MATCH($A22,Aug!$A$6:$A$31,0)),0)+IFERROR(INDEX(Sep!AL$6:AL$31,MATCH($A22,Sep!$A$6:$A$31,0)),0)+IFERROR(INDEX(Oct!AL$6:AL$31,MATCH($A22,Oct!$A$6:$A$31,0)),0)+IFERROR(INDEX(Nov!AL$6:AL$31,MATCH($A22,Nov!$A$6:$A$31,0)),0)+IFERROR(INDEX(Dec!AL$6:AL$31,MATCH($A22,Dec!$A$6:$A$31,0)),0)+IFERROR(INDEX(Jan!AL$6:AL$32,MATCH($A22,Jan!$A$6:$A$32,0)),0)+IFERROR(INDEX(Feb!AL$6:AL$28,MATCH($A22,Feb!$A$6:$A$28,0)),0)+IFERROR(INDEX(Mar!AL$6:AL$31,MATCH($A22,Mar!$A$6:$A$31,0)),0)+IFERROR(INDEX(Apr!AL$6:AL$31,MATCH($A22,Apr!$A$6:$A$31,0)),0)+IFERROR(INDEX(May!AL$6:AL$31,MATCH($A22,May!$A$6:$A$31,0)),0)+IFERROR(INDEX(Jun!AL$6:AL$31,MATCH($A22,Jun!$A$6:$A$31,0)),0)+IFERROR(INDEX(Jul!AL$6:AL$31,MATCH($A22,Jul!$A$6:$A$31,0)),0)</f>
        <v>0</v>
      </c>
      <c r="L22" s="89" t="str">
        <f t="shared" si="4"/>
        <v/>
      </c>
      <c r="M22" s="80">
        <f>IFERROR(INDEX(Aug!AM$6:AM$31,MATCH($A22,Aug!$A$6:$A$31,0)),0)+IFERROR(INDEX(Sep!AM$6:AM$31,MATCH($A22,Sep!$A$6:$A$31,0)),0)+IFERROR(INDEX(Oct!AM$6:AM$31,MATCH($A22,Oct!$A$6:$A$31,0)),0)+IFERROR(INDEX(Nov!AM$6:AM$31,MATCH($A22,Nov!$A$6:$A$31,0)),0)+IFERROR(INDEX(Dec!AM$6:AM$31,MATCH($A22,Dec!$A$6:$A$31,0)),0)+IFERROR(INDEX(Jan!AM$6:AM$32,MATCH($A22,Jan!$A$6:$A$32,0)),0)+IFERROR(INDEX(Feb!AM$6:AM$28,MATCH($A22,Feb!$A$6:$A$28,0)),0)+IFERROR(INDEX(Mar!AM$6:AM$31,MATCH($A22,Mar!$A$6:$A$31,0)),0)+IFERROR(INDEX(Apr!AM$6:AM$31,MATCH($A22,Apr!$A$6:$A$31,0)),0)+IFERROR(INDEX(May!AM$6:AM$31,MATCH($A22,May!$A$6:$A$31,0)),0)+IFERROR(INDEX(Jun!AM$6:AM$31,MATCH($A22,Jun!$A$6:$A$31,0)),0)+IFERROR(INDEX(Jul!AM$6:AM$31,MATCH($A22,Jul!$A$6:$A$31,0)),0)</f>
        <v>0</v>
      </c>
      <c r="N22" s="89" t="str">
        <f t="shared" si="5"/>
        <v/>
      </c>
      <c r="O22" s="80">
        <f>IFERROR(INDEX(Aug!AN$6:AN$31,MATCH($A22,Aug!$A$6:$A$31,0)),0)+IFERROR(INDEX(Sep!AN$6:AN$31,MATCH($A22,Sep!$A$6:$A$31,0)),0)+IFERROR(INDEX(Oct!AN$6:AN$31,MATCH($A22,Oct!$A$6:$A$31,0)),0)+IFERROR(INDEX(Nov!AN$6:AN$31,MATCH($A22,Nov!$A$6:$A$31,0)),0)+IFERROR(INDEX(Dec!AN$6:AN$31,MATCH($A22,Dec!$A$6:$A$31,0)),0)+IFERROR(INDEX(Jan!AN$6:AN$32,MATCH($A22,Jan!$A$6:$A$32,0)),0)+IFERROR(INDEX(Feb!AN$6:AN$28,MATCH($A22,Feb!$A$6:$A$28,0)),0)+IFERROR(INDEX(Mar!AN$6:AN$31,MATCH($A22,Mar!$A$6:$A$31,0)),0)+IFERROR(INDEX(Apr!AN$6:AN$31,MATCH($A22,Apr!$A$6:$A$31,0)),0)+IFERROR(INDEX(May!AN$6:AN$31,MATCH($A22,May!$A$6:$A$31,0)),0)+IFERROR(INDEX(Jun!AN$6:AN$31,MATCH($A22,Jun!$A$6:$A$31,0)),0)+IFERROR(INDEX(Jul!AN$6:AN$31,MATCH($A22,Jul!$A$6:$A$31,0)),0)</f>
        <v>0</v>
      </c>
      <c r="P22" s="50" t="str">
        <f t="shared" si="6"/>
        <v/>
      </c>
      <c r="Q22" s="100">
        <f>IFERROR(INDEX(Aug!AO$6:AO$31,MATCH($A22,Aug!$A$6:$A$31,0)),0)+IFERROR(INDEX(Sep!AO$6:AO$31,MATCH($A22,Sep!$A$6:$A$31,0)),0)+IFERROR(INDEX(Oct!AO$6:AO$31,MATCH($A22,Oct!$A$6:$A$31,0)),0)+IFERROR(INDEX(Nov!AO$6:AO$31,MATCH($A22,Nov!$A$6:$A$31,0)),0)+IFERROR(INDEX(Dec!AO$6:AO$31,MATCH($A22,Dec!$A$6:$A$31,0)),0)+IFERROR(INDEX(Jan!AO$6:AO$32,MATCH($A22,Jan!$A$6:$A$32,0)),0)+IFERROR(INDEX(Feb!AO$6:AO$28,MATCH($A22,Feb!$A$6:$A$28,0)),0)+IFERROR(INDEX(Mar!AO$6:AO$31,MATCH($A22,Mar!$A$6:$A$31,0)),0)+IFERROR(INDEX(Apr!AO$6:AO$31,MATCH($A22,Apr!$A$6:$A$31,0)),0)+IFERROR(INDEX(May!AO$6:AO$31,MATCH($A22,May!$A$6:$A$31,0)),0)+IFERROR(INDEX(Jun!AO$6:AO$31,MATCH($A22,Jun!$A$6:$A$31,0)),0)+IFERROR(INDEX(Jul!AO$6:AO$31,MATCH($A22,Jul!$A$6:$A$31,0)),0)</f>
        <v>0</v>
      </c>
      <c r="R22" s="101" t="str">
        <f t="shared" si="7"/>
        <v/>
      </c>
      <c r="S22" s="81">
        <f>C22+E22+G22+I22+K22+M22+O22+Q22</f>
        <v>0</v>
      </c>
    </row>
    <row r="23" spans="1:20" ht="18" customHeight="1" x14ac:dyDescent="0.25">
      <c r="A23" s="42">
        <v>20</v>
      </c>
      <c r="B23" s="76"/>
      <c r="C23" s="80">
        <f>IFERROR(INDEX(Aug!AH$6:AH$31,MATCH($A23,Aug!$A$6:$A$31,0)),0)+IFERROR(INDEX(Sep!AH$6:AH$31,MATCH($A23,Sep!$A$6:$A$31,0)),0)+IFERROR(INDEX(Oct!AH$6:AH$31,MATCH($A23,Oct!$A$6:$A$31,0)),0)+IFERROR(INDEX(Nov!AH$6:AH$31,MATCH($A23,Nov!$A$6:$A$31,0)),0)+IFERROR(INDEX(Dec!AH$6:AH$31,MATCH($A23,Dec!$A$6:$A$31,0)),0)+IFERROR(INDEX(Jan!AH$6:AH$32,MATCH($A23,Jan!$A$6:$A$32,0)),0)+IFERROR(INDEX(Feb!AH$6:AH$28,MATCH($A23,Feb!$A$6:$A$28,0)),0)+IFERROR(INDEX(Mar!AH$6:AH$31,MATCH($A23,Mar!$A$6:$A$31,0)),0)+IFERROR(INDEX(Apr!AH$6:AH$31,MATCH($A23,Apr!$A$6:$A$31,0)),0)+IFERROR(INDEX(May!AH$6:AH$31,MATCH($A23,May!$A$6:$A$31,0)),0)+IFERROR(INDEX(Jun!AH$6:AH$31,MATCH($A23,Jun!$A$6:$A$31,0)),0)+IFERROR(INDEX(Jul!AH$6:AH$31,MATCH($A23,Jul!$A$6:$A$31,0)),0)</f>
        <v>0</v>
      </c>
      <c r="D23" s="50" t="str">
        <f t="shared" si="0"/>
        <v/>
      </c>
      <c r="E23" s="80">
        <f>IFERROR(INDEX(Aug!AI$6:AI$31,MATCH($A23,Aug!$A$6:$A$31,0)),0)+IFERROR(INDEX(Sep!AI$6:AI$31,MATCH($A23,Sep!$A$6:$A$31,0)),0)+IFERROR(INDEX(Oct!AI$6:AI$31,MATCH($A23,Oct!$A$6:$A$31,0)),0)+IFERROR(INDEX(Nov!AI$6:AI$31,MATCH($A23,Nov!$A$6:$A$31,0)),0)+IFERROR(INDEX(Dec!AI$6:AI$31,MATCH($A23,Dec!$A$6:$A$31,0)),0)+IFERROR(INDEX(Jan!AI$6:AI$32,MATCH($A23,Jan!$A$6:$A$32,0)),0)+IFERROR(INDEX(Feb!AI$6:AI$28,MATCH($A23,Feb!$A$6:$A$28,0)),0)+IFERROR(INDEX(Mar!AI$6:AI$31,MATCH($A23,Mar!$A$6:$A$31,0)),0)+IFERROR(INDEX(Apr!AI$6:AI$31,MATCH($A23,Apr!$A$6:$A$31,0)),0)+IFERROR(INDEX(May!AI$6:AI$31,MATCH($A23,May!$A$6:$A$31,0)),0)+IFERROR(INDEX(Jun!AI$6:AI$31,MATCH($A23,Jun!$A$6:$A$31,0)),0)+IFERROR(INDEX(Jul!AI$6:AI$31,MATCH($A23,Jul!$A$6:$A$31,0)),0)</f>
        <v>0</v>
      </c>
      <c r="F23" s="89" t="str">
        <f t="shared" si="1"/>
        <v/>
      </c>
      <c r="G23" s="80">
        <f>IFERROR(INDEX(Aug!AJ$6:AJ$31,MATCH($A23,Aug!$A$6:$A$31,0)),0)+IFERROR(INDEX(Sep!AJ$6:AJ$31,MATCH($A23,Sep!$A$6:$A$31,0)),0)+IFERROR(INDEX(Oct!AJ$6:AJ$31,MATCH($A23,Oct!$A$6:$A$31,0)),0)+IFERROR(INDEX(Nov!AJ$6:AJ$31,MATCH($A23,Nov!$A$6:$A$31,0)),0)+IFERROR(INDEX(Dec!AJ$6:AJ$31,MATCH($A23,Dec!$A$6:$A$31,0)),0)+IFERROR(INDEX(Jan!AJ$6:AJ$32,MATCH($A23,Jan!$A$6:$A$32,0)),0)+IFERROR(INDEX(Feb!AJ$6:AJ$28,MATCH($A23,Feb!$A$6:$A$28,0)),0)+IFERROR(INDEX(Mar!AJ$6:AJ$31,MATCH($A23,Mar!$A$6:$A$31,0)),0)+IFERROR(INDEX(Apr!AJ$6:AJ$31,MATCH($A23,Apr!$A$6:$A$31,0)),0)+IFERROR(INDEX(May!AJ$6:AJ$31,MATCH($A23,May!$A$6:$A$31,0)),0)+IFERROR(INDEX(Jun!AJ$6:AJ$31,MATCH($A23,Jun!$A$6:$A$31,0)),0)+IFERROR(INDEX(Jul!AJ$6:AJ$31,MATCH($A23,Jul!$A$6:$A$31,0)),0)</f>
        <v>0</v>
      </c>
      <c r="H23" s="89" t="str">
        <f t="shared" si="2"/>
        <v/>
      </c>
      <c r="I23" s="80">
        <f>IFERROR(INDEX(Aug!AK$6:AK$31,MATCH($A23,Aug!$A$6:$A$31,0)),0)+IFERROR(INDEX(Sep!AK$6:AK$31,MATCH($A23,Sep!$A$6:$A$31,0)),0)+IFERROR(INDEX(Oct!AK$6:AK$31,MATCH($A23,Oct!$A$6:$A$31,0)),0)+IFERROR(INDEX(Nov!AK$6:AK$31,MATCH($A23,Nov!$A$6:$A$31,0)),0)+IFERROR(INDEX(Dec!AK$6:AK$31,MATCH($A23,Dec!$A$6:$A$31,0)),0)+IFERROR(INDEX(Jan!AK$6:AK$32,MATCH($A23,Jan!$A$6:$A$32,0)),0)+IFERROR(INDEX(Feb!AK$6:AK$28,MATCH($A23,Feb!$A$6:$A$28,0)),0)+IFERROR(INDEX(Mar!AK$6:AK$31,MATCH($A23,Mar!$A$6:$A$31,0)),0)+IFERROR(INDEX(Apr!AK$6:AK$31,MATCH($A23,Apr!$A$6:$A$31,0)),0)+IFERROR(INDEX(May!AK$6:AK$31,MATCH($A23,May!$A$6:$A$31,0)),0)+IFERROR(INDEX(Jun!AK$6:AK$31,MATCH($A23,Jun!$A$6:$A$31,0)),0)+IFERROR(INDEX(Jul!AK$6:AK$31,MATCH($A23,Jul!$A$6:$A$31,0)),0)</f>
        <v>0</v>
      </c>
      <c r="J23" s="89" t="str">
        <f t="shared" si="3"/>
        <v/>
      </c>
      <c r="K23" s="80">
        <f>IFERROR(INDEX(Aug!AL$6:AL$31,MATCH($A23,Aug!$A$6:$A$31,0)),0)+IFERROR(INDEX(Sep!AL$6:AL$31,MATCH($A23,Sep!$A$6:$A$31,0)),0)+IFERROR(INDEX(Oct!AL$6:AL$31,MATCH($A23,Oct!$A$6:$A$31,0)),0)+IFERROR(INDEX(Nov!AL$6:AL$31,MATCH($A23,Nov!$A$6:$A$31,0)),0)+IFERROR(INDEX(Dec!AL$6:AL$31,MATCH($A23,Dec!$A$6:$A$31,0)),0)+IFERROR(INDEX(Jan!AL$6:AL$32,MATCH($A23,Jan!$A$6:$A$32,0)),0)+IFERROR(INDEX(Feb!AL$6:AL$28,MATCH($A23,Feb!$A$6:$A$28,0)),0)+IFERROR(INDEX(Mar!AL$6:AL$31,MATCH($A23,Mar!$A$6:$A$31,0)),0)+IFERROR(INDEX(Apr!AL$6:AL$31,MATCH($A23,Apr!$A$6:$A$31,0)),0)+IFERROR(INDEX(May!AL$6:AL$31,MATCH($A23,May!$A$6:$A$31,0)),0)+IFERROR(INDEX(Jun!AL$6:AL$31,MATCH($A23,Jun!$A$6:$A$31,0)),0)+IFERROR(INDEX(Jul!AL$6:AL$31,MATCH($A23,Jul!$A$6:$A$31,0)),0)</f>
        <v>0</v>
      </c>
      <c r="L23" s="89" t="str">
        <f t="shared" si="4"/>
        <v/>
      </c>
      <c r="M23" s="80">
        <f>IFERROR(INDEX(Aug!AM$6:AM$31,MATCH($A23,Aug!$A$6:$A$31,0)),0)+IFERROR(INDEX(Sep!AM$6:AM$31,MATCH($A23,Sep!$A$6:$A$31,0)),0)+IFERROR(INDEX(Oct!AM$6:AM$31,MATCH($A23,Oct!$A$6:$A$31,0)),0)+IFERROR(INDEX(Nov!AM$6:AM$31,MATCH($A23,Nov!$A$6:$A$31,0)),0)+IFERROR(INDEX(Dec!AM$6:AM$31,MATCH($A23,Dec!$A$6:$A$31,0)),0)+IFERROR(INDEX(Jan!AM$6:AM$32,MATCH($A23,Jan!$A$6:$A$32,0)),0)+IFERROR(INDEX(Feb!AM$6:AM$28,MATCH($A23,Feb!$A$6:$A$28,0)),0)+IFERROR(INDEX(Mar!AM$6:AM$31,MATCH($A23,Mar!$A$6:$A$31,0)),0)+IFERROR(INDEX(Apr!AM$6:AM$31,MATCH($A23,Apr!$A$6:$A$31,0)),0)+IFERROR(INDEX(May!AM$6:AM$31,MATCH($A23,May!$A$6:$A$31,0)),0)+IFERROR(INDEX(Jun!AM$6:AM$31,MATCH($A23,Jun!$A$6:$A$31,0)),0)+IFERROR(INDEX(Jul!AM$6:AM$31,MATCH($A23,Jul!$A$6:$A$31,0)),0)</f>
        <v>0</v>
      </c>
      <c r="N23" s="89" t="str">
        <f t="shared" si="5"/>
        <v/>
      </c>
      <c r="O23" s="80">
        <f>IFERROR(INDEX(Aug!AN$6:AN$31,MATCH($A23,Aug!$A$6:$A$31,0)),0)+IFERROR(INDEX(Sep!AN$6:AN$31,MATCH($A23,Sep!$A$6:$A$31,0)),0)+IFERROR(INDEX(Oct!AN$6:AN$31,MATCH($A23,Oct!$A$6:$A$31,0)),0)+IFERROR(INDEX(Nov!AN$6:AN$31,MATCH($A23,Nov!$A$6:$A$31,0)),0)+IFERROR(INDEX(Dec!AN$6:AN$31,MATCH($A23,Dec!$A$6:$A$31,0)),0)+IFERROR(INDEX(Jan!AN$6:AN$32,MATCH($A23,Jan!$A$6:$A$32,0)),0)+IFERROR(INDEX(Feb!AN$6:AN$28,MATCH($A23,Feb!$A$6:$A$28,0)),0)+IFERROR(INDEX(Mar!AN$6:AN$31,MATCH($A23,Mar!$A$6:$A$31,0)),0)+IFERROR(INDEX(Apr!AN$6:AN$31,MATCH($A23,Apr!$A$6:$A$31,0)),0)+IFERROR(INDEX(May!AN$6:AN$31,MATCH($A23,May!$A$6:$A$31,0)),0)+IFERROR(INDEX(Jun!AN$6:AN$31,MATCH($A23,Jun!$A$6:$A$31,0)),0)+IFERROR(INDEX(Jul!AN$6:AN$31,MATCH($A23,Jul!$A$6:$A$31,0)),0)</f>
        <v>0</v>
      </c>
      <c r="P23" s="50" t="str">
        <f t="shared" si="6"/>
        <v/>
      </c>
      <c r="Q23" s="100">
        <f>IFERROR(INDEX(Aug!AO$6:AO$31,MATCH($A23,Aug!$A$6:$A$31,0)),0)+IFERROR(INDEX(Sep!AO$6:AO$31,MATCH($A23,Sep!$A$6:$A$31,0)),0)+IFERROR(INDEX(Oct!AO$6:AO$31,MATCH($A23,Oct!$A$6:$A$31,0)),0)+IFERROR(INDEX(Nov!AO$6:AO$31,MATCH($A23,Nov!$A$6:$A$31,0)),0)+IFERROR(INDEX(Dec!AO$6:AO$31,MATCH($A23,Dec!$A$6:$A$31,0)),0)+IFERROR(INDEX(Jan!AO$6:AO$32,MATCH($A23,Jan!$A$6:$A$32,0)),0)+IFERROR(INDEX(Feb!AO$6:AO$28,MATCH($A23,Feb!$A$6:$A$28,0)),0)+IFERROR(INDEX(Mar!AO$6:AO$31,MATCH($A23,Mar!$A$6:$A$31,0)),0)+IFERROR(INDEX(Apr!AO$6:AO$31,MATCH($A23,Apr!$A$6:$A$31,0)),0)+IFERROR(INDEX(May!AO$6:AO$31,MATCH($A23,May!$A$6:$A$31,0)),0)+IFERROR(INDEX(Jun!AO$6:AO$31,MATCH($A23,Jun!$A$6:$A$31,0)),0)+IFERROR(INDEX(Jul!AO$6:AO$31,MATCH($A23,Jul!$A$6:$A$31,0)),0)</f>
        <v>0</v>
      </c>
      <c r="R23" s="101" t="str">
        <f t="shared" si="7"/>
        <v/>
      </c>
      <c r="S23" s="81">
        <f>C23+E23+G23+I23+K23+M23+O23+Q23</f>
        <v>0</v>
      </c>
    </row>
    <row r="24" spans="1:20" ht="18" customHeight="1" x14ac:dyDescent="0.25">
      <c r="A24" s="42">
        <v>21</v>
      </c>
      <c r="B24" s="76"/>
      <c r="C24" s="80">
        <f>IFERROR(INDEX(Aug!AH$6:AH$31,MATCH($A24,Aug!$A$6:$A$31,0)),0)+IFERROR(INDEX(Sep!AH$6:AH$31,MATCH($A24,Sep!$A$6:$A$31,0)),0)+IFERROR(INDEX(Oct!AH$6:AH$31,MATCH($A24,Oct!$A$6:$A$31,0)),0)+IFERROR(INDEX(Nov!AH$6:AH$31,MATCH($A24,Nov!$A$6:$A$31,0)),0)+IFERROR(INDEX(Dec!AH$6:AH$31,MATCH($A24,Dec!$A$6:$A$31,0)),0)+IFERROR(INDEX(Jan!AH$6:AH$32,MATCH($A24,Jan!$A$6:$A$32,0)),0)+IFERROR(INDEX(Feb!AH$6:AH$28,MATCH($A24,Feb!$A$6:$A$28,0)),0)+IFERROR(INDEX(Mar!AH$6:AH$31,MATCH($A24,Mar!$A$6:$A$31,0)),0)+IFERROR(INDEX(Apr!AH$6:AH$31,MATCH($A24,Apr!$A$6:$A$31,0)),0)+IFERROR(INDEX(May!AH$6:AH$31,MATCH($A24,May!$A$6:$A$31,0)),0)+IFERROR(INDEX(Jun!AH$6:AH$31,MATCH($A24,Jun!$A$6:$A$31,0)),0)+IFERROR(INDEX(Jul!AH$6:AH$31,MATCH($A24,Jul!$A$6:$A$31,0)),0)</f>
        <v>0</v>
      </c>
      <c r="D24" s="50" t="str">
        <f t="shared" si="0"/>
        <v/>
      </c>
      <c r="E24" s="80">
        <f>IFERROR(INDEX(Aug!AI$6:AI$31,MATCH($A24,Aug!$A$6:$A$31,0)),0)+IFERROR(INDEX(Sep!AI$6:AI$31,MATCH($A24,Sep!$A$6:$A$31,0)),0)+IFERROR(INDEX(Oct!AI$6:AI$31,MATCH($A24,Oct!$A$6:$A$31,0)),0)+IFERROR(INDEX(Nov!AI$6:AI$31,MATCH($A24,Nov!$A$6:$A$31,0)),0)+IFERROR(INDEX(Dec!AI$6:AI$31,MATCH($A24,Dec!$A$6:$A$31,0)),0)+IFERROR(INDEX(Jan!AI$6:AI$32,MATCH($A24,Jan!$A$6:$A$32,0)),0)+IFERROR(INDEX(Feb!AI$6:AI$28,MATCH($A24,Feb!$A$6:$A$28,0)),0)+IFERROR(INDEX(Mar!AI$6:AI$31,MATCH($A24,Mar!$A$6:$A$31,0)),0)+IFERROR(INDEX(Apr!AI$6:AI$31,MATCH($A24,Apr!$A$6:$A$31,0)),0)+IFERROR(INDEX(May!AI$6:AI$31,MATCH($A24,May!$A$6:$A$31,0)),0)+IFERROR(INDEX(Jun!AI$6:AI$31,MATCH($A24,Jun!$A$6:$A$31,0)),0)+IFERROR(INDEX(Jul!AI$6:AI$31,MATCH($A24,Jul!$A$6:$A$31,0)),0)</f>
        <v>0</v>
      </c>
      <c r="F24" s="89" t="str">
        <f t="shared" si="1"/>
        <v/>
      </c>
      <c r="G24" s="80">
        <f>IFERROR(INDEX(Aug!AJ$6:AJ$31,MATCH($A24,Aug!$A$6:$A$31,0)),0)+IFERROR(INDEX(Sep!AJ$6:AJ$31,MATCH($A24,Sep!$A$6:$A$31,0)),0)+IFERROR(INDEX(Oct!AJ$6:AJ$31,MATCH($A24,Oct!$A$6:$A$31,0)),0)+IFERROR(INDEX(Nov!AJ$6:AJ$31,MATCH($A24,Nov!$A$6:$A$31,0)),0)+IFERROR(INDEX(Dec!AJ$6:AJ$31,MATCH($A24,Dec!$A$6:$A$31,0)),0)+IFERROR(INDEX(Jan!AJ$6:AJ$32,MATCH($A24,Jan!$A$6:$A$32,0)),0)+IFERROR(INDEX(Feb!AJ$6:AJ$28,MATCH($A24,Feb!$A$6:$A$28,0)),0)+IFERROR(INDEX(Mar!AJ$6:AJ$31,MATCH($A24,Mar!$A$6:$A$31,0)),0)+IFERROR(INDEX(Apr!AJ$6:AJ$31,MATCH($A24,Apr!$A$6:$A$31,0)),0)+IFERROR(INDEX(May!AJ$6:AJ$31,MATCH($A24,May!$A$6:$A$31,0)),0)+IFERROR(INDEX(Jun!AJ$6:AJ$31,MATCH($A24,Jun!$A$6:$A$31,0)),0)+IFERROR(INDEX(Jul!AJ$6:AJ$31,MATCH($A24,Jul!$A$6:$A$31,0)),0)</f>
        <v>0</v>
      </c>
      <c r="H24" s="89" t="str">
        <f t="shared" si="2"/>
        <v/>
      </c>
      <c r="I24" s="80">
        <f>IFERROR(INDEX(Aug!AK$6:AK$31,MATCH($A24,Aug!$A$6:$A$31,0)),0)+IFERROR(INDEX(Sep!AK$6:AK$31,MATCH($A24,Sep!$A$6:$A$31,0)),0)+IFERROR(INDEX(Oct!AK$6:AK$31,MATCH($A24,Oct!$A$6:$A$31,0)),0)+IFERROR(INDEX(Nov!AK$6:AK$31,MATCH($A24,Nov!$A$6:$A$31,0)),0)+IFERROR(INDEX(Dec!AK$6:AK$31,MATCH($A24,Dec!$A$6:$A$31,0)),0)+IFERROR(INDEX(Jan!AK$6:AK$32,MATCH($A24,Jan!$A$6:$A$32,0)),0)+IFERROR(INDEX(Feb!AK$6:AK$28,MATCH($A24,Feb!$A$6:$A$28,0)),0)+IFERROR(INDEX(Mar!AK$6:AK$31,MATCH($A24,Mar!$A$6:$A$31,0)),0)+IFERROR(INDEX(Apr!AK$6:AK$31,MATCH($A24,Apr!$A$6:$A$31,0)),0)+IFERROR(INDEX(May!AK$6:AK$31,MATCH($A24,May!$A$6:$A$31,0)),0)+IFERROR(INDEX(Jun!AK$6:AK$31,MATCH($A24,Jun!$A$6:$A$31,0)),0)+IFERROR(INDEX(Jul!AK$6:AK$31,MATCH($A24,Jul!$A$6:$A$31,0)),0)</f>
        <v>0</v>
      </c>
      <c r="J24" s="89" t="str">
        <f t="shared" si="3"/>
        <v/>
      </c>
      <c r="K24" s="80">
        <f>IFERROR(INDEX(Aug!AL$6:AL$31,MATCH($A24,Aug!$A$6:$A$31,0)),0)+IFERROR(INDEX(Sep!AL$6:AL$31,MATCH($A24,Sep!$A$6:$A$31,0)),0)+IFERROR(INDEX(Oct!AL$6:AL$31,MATCH($A24,Oct!$A$6:$A$31,0)),0)+IFERROR(INDEX(Nov!AL$6:AL$31,MATCH($A24,Nov!$A$6:$A$31,0)),0)+IFERROR(INDEX(Dec!AL$6:AL$31,MATCH($A24,Dec!$A$6:$A$31,0)),0)+IFERROR(INDEX(Jan!AL$6:AL$32,MATCH($A24,Jan!$A$6:$A$32,0)),0)+IFERROR(INDEX(Feb!AL$6:AL$28,MATCH($A24,Feb!$A$6:$A$28,0)),0)+IFERROR(INDEX(Mar!AL$6:AL$31,MATCH($A24,Mar!$A$6:$A$31,0)),0)+IFERROR(INDEX(Apr!AL$6:AL$31,MATCH($A24,Apr!$A$6:$A$31,0)),0)+IFERROR(INDEX(May!AL$6:AL$31,MATCH($A24,May!$A$6:$A$31,0)),0)+IFERROR(INDEX(Jun!AL$6:AL$31,MATCH($A24,Jun!$A$6:$A$31,0)),0)+IFERROR(INDEX(Jul!AL$6:AL$31,MATCH($A24,Jul!$A$6:$A$31,0)),0)</f>
        <v>0</v>
      </c>
      <c r="L24" s="89" t="str">
        <f t="shared" si="4"/>
        <v/>
      </c>
      <c r="M24" s="80">
        <f>IFERROR(INDEX(Aug!AM$6:AM$31,MATCH($A24,Aug!$A$6:$A$31,0)),0)+IFERROR(INDEX(Sep!AM$6:AM$31,MATCH($A24,Sep!$A$6:$A$31,0)),0)+IFERROR(INDEX(Oct!AM$6:AM$31,MATCH($A24,Oct!$A$6:$A$31,0)),0)+IFERROR(INDEX(Nov!AM$6:AM$31,MATCH($A24,Nov!$A$6:$A$31,0)),0)+IFERROR(INDEX(Dec!AM$6:AM$31,MATCH($A24,Dec!$A$6:$A$31,0)),0)+IFERROR(INDEX(Jan!AM$6:AM$32,MATCH($A24,Jan!$A$6:$A$32,0)),0)+IFERROR(INDEX(Feb!AM$6:AM$28,MATCH($A24,Feb!$A$6:$A$28,0)),0)+IFERROR(INDEX(Mar!AM$6:AM$31,MATCH($A24,Mar!$A$6:$A$31,0)),0)+IFERROR(INDEX(Apr!AM$6:AM$31,MATCH($A24,Apr!$A$6:$A$31,0)),0)+IFERROR(INDEX(May!AM$6:AM$31,MATCH($A24,May!$A$6:$A$31,0)),0)+IFERROR(INDEX(Jun!AM$6:AM$31,MATCH($A24,Jun!$A$6:$A$31,0)),0)+IFERROR(INDEX(Jul!AM$6:AM$31,MATCH($A24,Jul!$A$6:$A$31,0)),0)</f>
        <v>0</v>
      </c>
      <c r="N24" s="89" t="str">
        <f t="shared" si="5"/>
        <v/>
      </c>
      <c r="O24" s="80">
        <f>IFERROR(INDEX(Aug!AN$6:AN$31,MATCH($A24,Aug!$A$6:$A$31,0)),0)+IFERROR(INDEX(Sep!AN$6:AN$31,MATCH($A24,Sep!$A$6:$A$31,0)),0)+IFERROR(INDEX(Oct!AN$6:AN$31,MATCH($A24,Oct!$A$6:$A$31,0)),0)+IFERROR(INDEX(Nov!AN$6:AN$31,MATCH($A24,Nov!$A$6:$A$31,0)),0)+IFERROR(INDEX(Dec!AN$6:AN$31,MATCH($A24,Dec!$A$6:$A$31,0)),0)+IFERROR(INDEX(Jan!AN$6:AN$32,MATCH($A24,Jan!$A$6:$A$32,0)),0)+IFERROR(INDEX(Feb!AN$6:AN$28,MATCH($A24,Feb!$A$6:$A$28,0)),0)+IFERROR(INDEX(Mar!AN$6:AN$31,MATCH($A24,Mar!$A$6:$A$31,0)),0)+IFERROR(INDEX(Apr!AN$6:AN$31,MATCH($A24,Apr!$A$6:$A$31,0)),0)+IFERROR(INDEX(May!AN$6:AN$31,MATCH($A24,May!$A$6:$A$31,0)),0)+IFERROR(INDEX(Jun!AN$6:AN$31,MATCH($A24,Jun!$A$6:$A$31,0)),0)+IFERROR(INDEX(Jul!AN$6:AN$31,MATCH($A24,Jul!$A$6:$A$31,0)),0)</f>
        <v>0</v>
      </c>
      <c r="P24" s="50" t="str">
        <f t="shared" si="6"/>
        <v/>
      </c>
      <c r="Q24" s="100">
        <f>IFERROR(INDEX(Aug!AO$6:AO$31,MATCH($A24,Aug!$A$6:$A$31,0)),0)+IFERROR(INDEX(Sep!AO$6:AO$31,MATCH($A24,Sep!$A$6:$A$31,0)),0)+IFERROR(INDEX(Oct!AO$6:AO$31,MATCH($A24,Oct!$A$6:$A$31,0)),0)+IFERROR(INDEX(Nov!AO$6:AO$31,MATCH($A24,Nov!$A$6:$A$31,0)),0)+IFERROR(INDEX(Dec!AO$6:AO$31,MATCH($A24,Dec!$A$6:$A$31,0)),0)+IFERROR(INDEX(Jan!AO$6:AO$32,MATCH($A24,Jan!$A$6:$A$32,0)),0)+IFERROR(INDEX(Feb!AO$6:AO$28,MATCH($A24,Feb!$A$6:$A$28,0)),0)+IFERROR(INDEX(Mar!AO$6:AO$31,MATCH($A24,Mar!$A$6:$A$31,0)),0)+IFERROR(INDEX(Apr!AO$6:AO$31,MATCH($A24,Apr!$A$6:$A$31,0)),0)+IFERROR(INDEX(May!AO$6:AO$31,MATCH($A24,May!$A$6:$A$31,0)),0)+IFERROR(INDEX(Jun!AO$6:AO$31,MATCH($A24,Jun!$A$6:$A$31,0)),0)+IFERROR(INDEX(Jul!AO$6:AO$31,MATCH($A24,Jul!$A$6:$A$31,0)),0)</f>
        <v>0</v>
      </c>
      <c r="R24" s="101" t="str">
        <f t="shared" si="7"/>
        <v/>
      </c>
      <c r="S24" s="81">
        <f>C24+E24+G24+I24+K24+M24+O24+Q24</f>
        <v>0</v>
      </c>
    </row>
    <row r="25" spans="1:20" ht="18" customHeight="1" x14ac:dyDescent="0.25">
      <c r="A25" s="42">
        <v>22</v>
      </c>
      <c r="B25" s="76"/>
      <c r="C25" s="80">
        <f>IFERROR(INDEX(Aug!AH$6:AH$31,MATCH($A25,Aug!$A$6:$A$31,0)),0)+IFERROR(INDEX(Sep!AH$6:AH$31,MATCH($A25,Sep!$A$6:$A$31,0)),0)+IFERROR(INDEX(Oct!AH$6:AH$31,MATCH($A25,Oct!$A$6:$A$31,0)),0)+IFERROR(INDEX(Nov!AH$6:AH$31,MATCH($A25,Nov!$A$6:$A$31,0)),0)+IFERROR(INDEX(Dec!AH$6:AH$31,MATCH($A25,Dec!$A$6:$A$31,0)),0)+IFERROR(INDEX(Jan!AH$6:AH$32,MATCH($A25,Jan!$A$6:$A$32,0)),0)+IFERROR(INDEX(Feb!AH$6:AH$28,MATCH($A25,Feb!$A$6:$A$28,0)),0)+IFERROR(INDEX(Mar!AH$6:AH$31,MATCH($A25,Mar!$A$6:$A$31,0)),0)+IFERROR(INDEX(Apr!AH$6:AH$31,MATCH($A25,Apr!$A$6:$A$31,0)),0)+IFERROR(INDEX(May!AH$6:AH$31,MATCH($A25,May!$A$6:$A$31,0)),0)+IFERROR(INDEX(Jun!AH$6:AH$31,MATCH($A25,Jun!$A$6:$A$31,0)),0)+IFERROR(INDEX(Jul!AH$6:AH$31,MATCH($A25,Jul!$A$6:$A$31,0)),0)</f>
        <v>0</v>
      </c>
      <c r="D25" s="50" t="str">
        <f t="shared" si="0"/>
        <v/>
      </c>
      <c r="E25" s="80">
        <f>IFERROR(INDEX(Aug!AI$6:AI$31,MATCH($A25,Aug!$A$6:$A$31,0)),0)+IFERROR(INDEX(Sep!AI$6:AI$31,MATCH($A25,Sep!$A$6:$A$31,0)),0)+IFERROR(INDEX(Oct!AI$6:AI$31,MATCH($A25,Oct!$A$6:$A$31,0)),0)+IFERROR(INDEX(Nov!AI$6:AI$31,MATCH($A25,Nov!$A$6:$A$31,0)),0)+IFERROR(INDEX(Dec!AI$6:AI$31,MATCH($A25,Dec!$A$6:$A$31,0)),0)+IFERROR(INDEX(Jan!AI$6:AI$32,MATCH($A25,Jan!$A$6:$A$32,0)),0)+IFERROR(INDEX(Feb!AI$6:AI$28,MATCH($A25,Feb!$A$6:$A$28,0)),0)+IFERROR(INDEX(Mar!AI$6:AI$31,MATCH($A25,Mar!$A$6:$A$31,0)),0)+IFERROR(INDEX(Apr!AI$6:AI$31,MATCH($A25,Apr!$A$6:$A$31,0)),0)+IFERROR(INDEX(May!AI$6:AI$31,MATCH($A25,May!$A$6:$A$31,0)),0)+IFERROR(INDEX(Jun!AI$6:AI$31,MATCH($A25,Jun!$A$6:$A$31,0)),0)+IFERROR(INDEX(Jul!AI$6:AI$31,MATCH($A25,Jul!$A$6:$A$31,0)),0)</f>
        <v>0</v>
      </c>
      <c r="F25" s="89" t="str">
        <f t="shared" si="1"/>
        <v/>
      </c>
      <c r="G25" s="80">
        <f>IFERROR(INDEX(Aug!AJ$6:AJ$31,MATCH($A25,Aug!$A$6:$A$31,0)),0)+IFERROR(INDEX(Sep!AJ$6:AJ$31,MATCH($A25,Sep!$A$6:$A$31,0)),0)+IFERROR(INDEX(Oct!AJ$6:AJ$31,MATCH($A25,Oct!$A$6:$A$31,0)),0)+IFERROR(INDEX(Nov!AJ$6:AJ$31,MATCH($A25,Nov!$A$6:$A$31,0)),0)+IFERROR(INDEX(Dec!AJ$6:AJ$31,MATCH($A25,Dec!$A$6:$A$31,0)),0)+IFERROR(INDEX(Jan!AJ$6:AJ$32,MATCH($A25,Jan!$A$6:$A$32,0)),0)+IFERROR(INDEX(Feb!AJ$6:AJ$28,MATCH($A25,Feb!$A$6:$A$28,0)),0)+IFERROR(INDEX(Mar!AJ$6:AJ$31,MATCH($A25,Mar!$A$6:$A$31,0)),0)+IFERROR(INDEX(Apr!AJ$6:AJ$31,MATCH($A25,Apr!$A$6:$A$31,0)),0)+IFERROR(INDEX(May!AJ$6:AJ$31,MATCH($A25,May!$A$6:$A$31,0)),0)+IFERROR(INDEX(Jun!AJ$6:AJ$31,MATCH($A25,Jun!$A$6:$A$31,0)),0)+IFERROR(INDEX(Jul!AJ$6:AJ$31,MATCH($A25,Jul!$A$6:$A$31,0)),0)</f>
        <v>0</v>
      </c>
      <c r="H25" s="89" t="str">
        <f t="shared" si="2"/>
        <v/>
      </c>
      <c r="I25" s="80">
        <f>IFERROR(INDEX(Aug!AK$6:AK$31,MATCH($A25,Aug!$A$6:$A$31,0)),0)+IFERROR(INDEX(Sep!AK$6:AK$31,MATCH($A25,Sep!$A$6:$A$31,0)),0)+IFERROR(INDEX(Oct!AK$6:AK$31,MATCH($A25,Oct!$A$6:$A$31,0)),0)+IFERROR(INDEX(Nov!AK$6:AK$31,MATCH($A25,Nov!$A$6:$A$31,0)),0)+IFERROR(INDEX(Dec!AK$6:AK$31,MATCH($A25,Dec!$A$6:$A$31,0)),0)+IFERROR(INDEX(Jan!AK$6:AK$32,MATCH($A25,Jan!$A$6:$A$32,0)),0)+IFERROR(INDEX(Feb!AK$6:AK$28,MATCH($A25,Feb!$A$6:$A$28,0)),0)+IFERROR(INDEX(Mar!AK$6:AK$31,MATCH($A25,Mar!$A$6:$A$31,0)),0)+IFERROR(INDEX(Apr!AK$6:AK$31,MATCH($A25,Apr!$A$6:$A$31,0)),0)+IFERROR(INDEX(May!AK$6:AK$31,MATCH($A25,May!$A$6:$A$31,0)),0)+IFERROR(INDEX(Jun!AK$6:AK$31,MATCH($A25,Jun!$A$6:$A$31,0)),0)+IFERROR(INDEX(Jul!AK$6:AK$31,MATCH($A25,Jul!$A$6:$A$31,0)),0)</f>
        <v>0</v>
      </c>
      <c r="J25" s="89" t="str">
        <f t="shared" si="3"/>
        <v/>
      </c>
      <c r="K25" s="80">
        <f>IFERROR(INDEX(Aug!AL$6:AL$31,MATCH($A25,Aug!$A$6:$A$31,0)),0)+IFERROR(INDEX(Sep!AL$6:AL$31,MATCH($A25,Sep!$A$6:$A$31,0)),0)+IFERROR(INDEX(Oct!AL$6:AL$31,MATCH($A25,Oct!$A$6:$A$31,0)),0)+IFERROR(INDEX(Nov!AL$6:AL$31,MATCH($A25,Nov!$A$6:$A$31,0)),0)+IFERROR(INDEX(Dec!AL$6:AL$31,MATCH($A25,Dec!$A$6:$A$31,0)),0)+IFERROR(INDEX(Jan!AL$6:AL$32,MATCH($A25,Jan!$A$6:$A$32,0)),0)+IFERROR(INDEX(Feb!AL$6:AL$28,MATCH($A25,Feb!$A$6:$A$28,0)),0)+IFERROR(INDEX(Mar!AL$6:AL$31,MATCH($A25,Mar!$A$6:$A$31,0)),0)+IFERROR(INDEX(Apr!AL$6:AL$31,MATCH($A25,Apr!$A$6:$A$31,0)),0)+IFERROR(INDEX(May!AL$6:AL$31,MATCH($A25,May!$A$6:$A$31,0)),0)+IFERROR(INDEX(Jun!AL$6:AL$31,MATCH($A25,Jun!$A$6:$A$31,0)),0)+IFERROR(INDEX(Jul!AL$6:AL$31,MATCH($A25,Jul!$A$6:$A$31,0)),0)</f>
        <v>0</v>
      </c>
      <c r="L25" s="89" t="str">
        <f t="shared" si="4"/>
        <v/>
      </c>
      <c r="M25" s="80">
        <f>IFERROR(INDEX(Aug!AM$6:AM$31,MATCH($A25,Aug!$A$6:$A$31,0)),0)+IFERROR(INDEX(Sep!AM$6:AM$31,MATCH($A25,Sep!$A$6:$A$31,0)),0)+IFERROR(INDEX(Oct!AM$6:AM$31,MATCH($A25,Oct!$A$6:$A$31,0)),0)+IFERROR(INDEX(Nov!AM$6:AM$31,MATCH($A25,Nov!$A$6:$A$31,0)),0)+IFERROR(INDEX(Dec!AM$6:AM$31,MATCH($A25,Dec!$A$6:$A$31,0)),0)+IFERROR(INDEX(Jan!AM$6:AM$32,MATCH($A25,Jan!$A$6:$A$32,0)),0)+IFERROR(INDEX(Feb!AM$6:AM$28,MATCH($A25,Feb!$A$6:$A$28,0)),0)+IFERROR(INDEX(Mar!AM$6:AM$31,MATCH($A25,Mar!$A$6:$A$31,0)),0)+IFERROR(INDEX(Apr!AM$6:AM$31,MATCH($A25,Apr!$A$6:$A$31,0)),0)+IFERROR(INDEX(May!AM$6:AM$31,MATCH($A25,May!$A$6:$A$31,0)),0)+IFERROR(INDEX(Jun!AM$6:AM$31,MATCH($A25,Jun!$A$6:$A$31,0)),0)+IFERROR(INDEX(Jul!AM$6:AM$31,MATCH($A25,Jul!$A$6:$A$31,0)),0)</f>
        <v>0</v>
      </c>
      <c r="N25" s="89" t="str">
        <f t="shared" si="5"/>
        <v/>
      </c>
      <c r="O25" s="80">
        <f>IFERROR(INDEX(Aug!AN$6:AN$31,MATCH($A25,Aug!$A$6:$A$31,0)),0)+IFERROR(INDEX(Sep!AN$6:AN$31,MATCH($A25,Sep!$A$6:$A$31,0)),0)+IFERROR(INDEX(Oct!AN$6:AN$31,MATCH($A25,Oct!$A$6:$A$31,0)),0)+IFERROR(INDEX(Nov!AN$6:AN$31,MATCH($A25,Nov!$A$6:$A$31,0)),0)+IFERROR(INDEX(Dec!AN$6:AN$31,MATCH($A25,Dec!$A$6:$A$31,0)),0)+IFERROR(INDEX(Jan!AN$6:AN$32,MATCH($A25,Jan!$A$6:$A$32,0)),0)+IFERROR(INDEX(Feb!AN$6:AN$28,MATCH($A25,Feb!$A$6:$A$28,0)),0)+IFERROR(INDEX(Mar!AN$6:AN$31,MATCH($A25,Mar!$A$6:$A$31,0)),0)+IFERROR(INDEX(Apr!AN$6:AN$31,MATCH($A25,Apr!$A$6:$A$31,0)),0)+IFERROR(INDEX(May!AN$6:AN$31,MATCH($A25,May!$A$6:$A$31,0)),0)+IFERROR(INDEX(Jun!AN$6:AN$31,MATCH($A25,Jun!$A$6:$A$31,0)),0)+IFERROR(INDEX(Jul!AN$6:AN$31,MATCH($A25,Jul!$A$6:$A$31,0)),0)</f>
        <v>0</v>
      </c>
      <c r="P25" s="50" t="str">
        <f t="shared" si="6"/>
        <v/>
      </c>
      <c r="Q25" s="100">
        <f>IFERROR(INDEX(Aug!AO$6:AO$31,MATCH($A25,Aug!$A$6:$A$31,0)),0)+IFERROR(INDEX(Sep!AO$6:AO$31,MATCH($A25,Sep!$A$6:$A$31,0)),0)+IFERROR(INDEX(Oct!AO$6:AO$31,MATCH($A25,Oct!$A$6:$A$31,0)),0)+IFERROR(INDEX(Nov!AO$6:AO$31,MATCH($A25,Nov!$A$6:$A$31,0)),0)+IFERROR(INDEX(Dec!AO$6:AO$31,MATCH($A25,Dec!$A$6:$A$31,0)),0)+IFERROR(INDEX(Jan!AO$6:AO$32,MATCH($A25,Jan!$A$6:$A$32,0)),0)+IFERROR(INDEX(Feb!AO$6:AO$28,MATCH($A25,Feb!$A$6:$A$28,0)),0)+IFERROR(INDEX(Mar!AO$6:AO$31,MATCH($A25,Mar!$A$6:$A$31,0)),0)+IFERROR(INDEX(Apr!AO$6:AO$31,MATCH($A25,Apr!$A$6:$A$31,0)),0)+IFERROR(INDEX(May!AO$6:AO$31,MATCH($A25,May!$A$6:$A$31,0)),0)+IFERROR(INDEX(Jun!AO$6:AO$31,MATCH($A25,Jun!$A$6:$A$31,0)),0)+IFERROR(INDEX(Jul!AO$6:AO$31,MATCH($A25,Jul!$A$6:$A$31,0)),0)</f>
        <v>0</v>
      </c>
      <c r="R25" s="101" t="str">
        <f t="shared" si="7"/>
        <v/>
      </c>
      <c r="S25" s="81">
        <f>C25+E25+G25+I25+K25+M25+O25+Q25</f>
        <v>0</v>
      </c>
    </row>
    <row r="26" spans="1:20" ht="18" customHeight="1" x14ac:dyDescent="0.25">
      <c r="A26" s="42">
        <v>23</v>
      </c>
      <c r="B26" s="76"/>
      <c r="C26" s="80">
        <f>IFERROR(INDEX(Aug!AH$6:AH$31,MATCH($A26,Aug!$A$6:$A$31,0)),0)+IFERROR(INDEX(Sep!AH$6:AH$31,MATCH($A26,Sep!$A$6:$A$31,0)),0)+IFERROR(INDEX(Oct!AH$6:AH$31,MATCH($A26,Oct!$A$6:$A$31,0)),0)+IFERROR(INDEX(Nov!AH$6:AH$31,MATCH($A26,Nov!$A$6:$A$31,0)),0)+IFERROR(INDEX(Dec!AH$6:AH$31,MATCH($A26,Dec!$A$6:$A$31,0)),0)+IFERROR(INDEX(Jan!AH$6:AH$32,MATCH($A26,Jan!$A$6:$A$32,0)),0)+IFERROR(INDEX(Feb!AH$6:AH$28,MATCH($A26,Feb!$A$6:$A$28,0)),0)+IFERROR(INDEX(Mar!AH$6:AH$31,MATCH($A26,Mar!$A$6:$A$31,0)),0)+IFERROR(INDEX(Apr!AH$6:AH$31,MATCH($A26,Apr!$A$6:$A$31,0)),0)+IFERROR(INDEX(May!AH$6:AH$31,MATCH($A26,May!$A$6:$A$31,0)),0)+IFERROR(INDEX(Jun!AH$6:AH$31,MATCH($A26,Jun!$A$6:$A$31,0)),0)+IFERROR(INDEX(Jul!AH$6:AH$31,MATCH($A26,Jul!$A$6:$A$31,0)),0)</f>
        <v>0</v>
      </c>
      <c r="D26" s="50" t="str">
        <f t="shared" si="0"/>
        <v/>
      </c>
      <c r="E26" s="80">
        <f>IFERROR(INDEX(Aug!AI$6:AI$31,MATCH($A26,Aug!$A$6:$A$31,0)),0)+IFERROR(INDEX(Sep!AI$6:AI$31,MATCH($A26,Sep!$A$6:$A$31,0)),0)+IFERROR(INDEX(Oct!AI$6:AI$31,MATCH($A26,Oct!$A$6:$A$31,0)),0)+IFERROR(INDEX(Nov!AI$6:AI$31,MATCH($A26,Nov!$A$6:$A$31,0)),0)+IFERROR(INDEX(Dec!AI$6:AI$31,MATCH($A26,Dec!$A$6:$A$31,0)),0)+IFERROR(INDEX(Jan!AI$6:AI$32,MATCH($A26,Jan!$A$6:$A$32,0)),0)+IFERROR(INDEX(Feb!AI$6:AI$28,MATCH($A26,Feb!$A$6:$A$28,0)),0)+IFERROR(INDEX(Mar!AI$6:AI$31,MATCH($A26,Mar!$A$6:$A$31,0)),0)+IFERROR(INDEX(Apr!AI$6:AI$31,MATCH($A26,Apr!$A$6:$A$31,0)),0)+IFERROR(INDEX(May!AI$6:AI$31,MATCH($A26,May!$A$6:$A$31,0)),0)+IFERROR(INDEX(Jun!AI$6:AI$31,MATCH($A26,Jun!$A$6:$A$31,0)),0)+IFERROR(INDEX(Jul!AI$6:AI$31,MATCH($A26,Jul!$A$6:$A$31,0)),0)</f>
        <v>0</v>
      </c>
      <c r="F26" s="89" t="str">
        <f t="shared" si="1"/>
        <v/>
      </c>
      <c r="G26" s="80">
        <f>IFERROR(INDEX(Aug!AJ$6:AJ$31,MATCH($A26,Aug!$A$6:$A$31,0)),0)+IFERROR(INDEX(Sep!AJ$6:AJ$31,MATCH($A26,Sep!$A$6:$A$31,0)),0)+IFERROR(INDEX(Oct!AJ$6:AJ$31,MATCH($A26,Oct!$A$6:$A$31,0)),0)+IFERROR(INDEX(Nov!AJ$6:AJ$31,MATCH($A26,Nov!$A$6:$A$31,0)),0)+IFERROR(INDEX(Dec!AJ$6:AJ$31,MATCH($A26,Dec!$A$6:$A$31,0)),0)+IFERROR(INDEX(Jan!AJ$6:AJ$32,MATCH($A26,Jan!$A$6:$A$32,0)),0)+IFERROR(INDEX(Feb!AJ$6:AJ$28,MATCH($A26,Feb!$A$6:$A$28,0)),0)+IFERROR(INDEX(Mar!AJ$6:AJ$31,MATCH($A26,Mar!$A$6:$A$31,0)),0)+IFERROR(INDEX(Apr!AJ$6:AJ$31,MATCH($A26,Apr!$A$6:$A$31,0)),0)+IFERROR(INDEX(May!AJ$6:AJ$31,MATCH($A26,May!$A$6:$A$31,0)),0)+IFERROR(INDEX(Jun!AJ$6:AJ$31,MATCH($A26,Jun!$A$6:$A$31,0)),0)+IFERROR(INDEX(Jul!AJ$6:AJ$31,MATCH($A26,Jul!$A$6:$A$31,0)),0)</f>
        <v>0</v>
      </c>
      <c r="H26" s="89" t="str">
        <f t="shared" si="2"/>
        <v/>
      </c>
      <c r="I26" s="80">
        <f>IFERROR(INDEX(Aug!AK$6:AK$31,MATCH($A26,Aug!$A$6:$A$31,0)),0)+IFERROR(INDEX(Sep!AK$6:AK$31,MATCH($A26,Sep!$A$6:$A$31,0)),0)+IFERROR(INDEX(Oct!AK$6:AK$31,MATCH($A26,Oct!$A$6:$A$31,0)),0)+IFERROR(INDEX(Nov!AK$6:AK$31,MATCH($A26,Nov!$A$6:$A$31,0)),0)+IFERROR(INDEX(Dec!AK$6:AK$31,MATCH($A26,Dec!$A$6:$A$31,0)),0)+IFERROR(INDEX(Jan!AK$6:AK$32,MATCH($A26,Jan!$A$6:$A$32,0)),0)+IFERROR(INDEX(Feb!AK$6:AK$28,MATCH($A26,Feb!$A$6:$A$28,0)),0)+IFERROR(INDEX(Mar!AK$6:AK$31,MATCH($A26,Mar!$A$6:$A$31,0)),0)+IFERROR(INDEX(Apr!AK$6:AK$31,MATCH($A26,Apr!$A$6:$A$31,0)),0)+IFERROR(INDEX(May!AK$6:AK$31,MATCH($A26,May!$A$6:$A$31,0)),0)+IFERROR(INDEX(Jun!AK$6:AK$31,MATCH($A26,Jun!$A$6:$A$31,0)),0)+IFERROR(INDEX(Jul!AK$6:AK$31,MATCH($A26,Jul!$A$6:$A$31,0)),0)</f>
        <v>0</v>
      </c>
      <c r="J26" s="89" t="str">
        <f t="shared" si="3"/>
        <v/>
      </c>
      <c r="K26" s="80">
        <f>IFERROR(INDEX(Aug!AL$6:AL$31,MATCH($A26,Aug!$A$6:$A$31,0)),0)+IFERROR(INDEX(Sep!AL$6:AL$31,MATCH($A26,Sep!$A$6:$A$31,0)),0)+IFERROR(INDEX(Oct!AL$6:AL$31,MATCH($A26,Oct!$A$6:$A$31,0)),0)+IFERROR(INDEX(Nov!AL$6:AL$31,MATCH($A26,Nov!$A$6:$A$31,0)),0)+IFERROR(INDEX(Dec!AL$6:AL$31,MATCH($A26,Dec!$A$6:$A$31,0)),0)+IFERROR(INDEX(Jan!AL$6:AL$32,MATCH($A26,Jan!$A$6:$A$32,0)),0)+IFERROR(INDEX(Feb!AL$6:AL$28,MATCH($A26,Feb!$A$6:$A$28,0)),0)+IFERROR(INDEX(Mar!AL$6:AL$31,MATCH($A26,Mar!$A$6:$A$31,0)),0)+IFERROR(INDEX(Apr!AL$6:AL$31,MATCH($A26,Apr!$A$6:$A$31,0)),0)+IFERROR(INDEX(May!AL$6:AL$31,MATCH($A26,May!$A$6:$A$31,0)),0)+IFERROR(INDEX(Jun!AL$6:AL$31,MATCH($A26,Jun!$A$6:$A$31,0)),0)+IFERROR(INDEX(Jul!AL$6:AL$31,MATCH($A26,Jul!$A$6:$A$31,0)),0)</f>
        <v>0</v>
      </c>
      <c r="L26" s="89" t="str">
        <f t="shared" si="4"/>
        <v/>
      </c>
      <c r="M26" s="80">
        <f>IFERROR(INDEX(Aug!AM$6:AM$31,MATCH($A26,Aug!$A$6:$A$31,0)),0)+IFERROR(INDEX(Sep!AM$6:AM$31,MATCH($A26,Sep!$A$6:$A$31,0)),0)+IFERROR(INDEX(Oct!AM$6:AM$31,MATCH($A26,Oct!$A$6:$A$31,0)),0)+IFERROR(INDEX(Nov!AM$6:AM$31,MATCH($A26,Nov!$A$6:$A$31,0)),0)+IFERROR(INDEX(Dec!AM$6:AM$31,MATCH($A26,Dec!$A$6:$A$31,0)),0)+IFERROR(INDEX(Jan!AM$6:AM$32,MATCH($A26,Jan!$A$6:$A$32,0)),0)+IFERROR(INDEX(Feb!AM$6:AM$28,MATCH($A26,Feb!$A$6:$A$28,0)),0)+IFERROR(INDEX(Mar!AM$6:AM$31,MATCH($A26,Mar!$A$6:$A$31,0)),0)+IFERROR(INDEX(Apr!AM$6:AM$31,MATCH($A26,Apr!$A$6:$A$31,0)),0)+IFERROR(INDEX(May!AM$6:AM$31,MATCH($A26,May!$A$6:$A$31,0)),0)+IFERROR(INDEX(Jun!AM$6:AM$31,MATCH($A26,Jun!$A$6:$A$31,0)),0)+IFERROR(INDEX(Jul!AM$6:AM$31,MATCH($A26,Jul!$A$6:$A$31,0)),0)</f>
        <v>0</v>
      </c>
      <c r="N26" s="89" t="str">
        <f t="shared" si="5"/>
        <v/>
      </c>
      <c r="O26" s="80">
        <f>IFERROR(INDEX(Aug!AN$6:AN$31,MATCH($A26,Aug!$A$6:$A$31,0)),0)+IFERROR(INDEX(Sep!AN$6:AN$31,MATCH($A26,Sep!$A$6:$A$31,0)),0)+IFERROR(INDEX(Oct!AN$6:AN$31,MATCH($A26,Oct!$A$6:$A$31,0)),0)+IFERROR(INDEX(Nov!AN$6:AN$31,MATCH($A26,Nov!$A$6:$A$31,0)),0)+IFERROR(INDEX(Dec!AN$6:AN$31,MATCH($A26,Dec!$A$6:$A$31,0)),0)+IFERROR(INDEX(Jan!AN$6:AN$32,MATCH($A26,Jan!$A$6:$A$32,0)),0)+IFERROR(INDEX(Feb!AN$6:AN$28,MATCH($A26,Feb!$A$6:$A$28,0)),0)+IFERROR(INDEX(Mar!AN$6:AN$31,MATCH($A26,Mar!$A$6:$A$31,0)),0)+IFERROR(INDEX(Apr!AN$6:AN$31,MATCH($A26,Apr!$A$6:$A$31,0)),0)+IFERROR(INDEX(May!AN$6:AN$31,MATCH($A26,May!$A$6:$A$31,0)),0)+IFERROR(INDEX(Jun!AN$6:AN$31,MATCH($A26,Jun!$A$6:$A$31,0)),0)+IFERROR(INDEX(Jul!AN$6:AN$31,MATCH($A26,Jul!$A$6:$A$31,0)),0)</f>
        <v>0</v>
      </c>
      <c r="P26" s="50" t="str">
        <f t="shared" si="6"/>
        <v/>
      </c>
      <c r="Q26" s="100">
        <f>IFERROR(INDEX(Aug!AO$6:AO$31,MATCH($A26,Aug!$A$6:$A$31,0)),0)+IFERROR(INDEX(Sep!AO$6:AO$31,MATCH($A26,Sep!$A$6:$A$31,0)),0)+IFERROR(INDEX(Oct!AO$6:AO$31,MATCH($A26,Oct!$A$6:$A$31,0)),0)+IFERROR(INDEX(Nov!AO$6:AO$31,MATCH($A26,Nov!$A$6:$A$31,0)),0)+IFERROR(INDEX(Dec!AO$6:AO$31,MATCH($A26,Dec!$A$6:$A$31,0)),0)+IFERROR(INDEX(Jan!AO$6:AO$32,MATCH($A26,Jan!$A$6:$A$32,0)),0)+IFERROR(INDEX(Feb!AO$6:AO$28,MATCH($A26,Feb!$A$6:$A$28,0)),0)+IFERROR(INDEX(Mar!AO$6:AO$31,MATCH($A26,Mar!$A$6:$A$31,0)),0)+IFERROR(INDEX(Apr!AO$6:AO$31,MATCH($A26,Apr!$A$6:$A$31,0)),0)+IFERROR(INDEX(May!AO$6:AO$31,MATCH($A26,May!$A$6:$A$31,0)),0)+IFERROR(INDEX(Jun!AO$6:AO$31,MATCH($A26,Jun!$A$6:$A$31,0)),0)+IFERROR(INDEX(Jul!AO$6:AO$31,MATCH($A26,Jul!$A$6:$A$31,0)),0)</f>
        <v>0</v>
      </c>
      <c r="R26" s="101" t="str">
        <f t="shared" si="7"/>
        <v/>
      </c>
      <c r="S26" s="81">
        <f>C26+E26+G26+I26+K26+M26+O26+Q26</f>
        <v>0</v>
      </c>
    </row>
    <row r="27" spans="1:20" ht="18" customHeight="1" x14ac:dyDescent="0.25">
      <c r="A27" s="42">
        <v>24</v>
      </c>
      <c r="B27" s="76"/>
      <c r="C27" s="80">
        <f>IFERROR(INDEX(Aug!AH$6:AH$31,MATCH($A27,Aug!$A$6:$A$31,0)),0)+IFERROR(INDEX(Sep!AH$6:AH$31,MATCH($A27,Sep!$A$6:$A$31,0)),0)+IFERROR(INDEX(Oct!AH$6:AH$31,MATCH($A27,Oct!$A$6:$A$31,0)),0)+IFERROR(INDEX(Nov!AH$6:AH$31,MATCH($A27,Nov!$A$6:$A$31,0)),0)+IFERROR(INDEX(Dec!AH$6:AH$31,MATCH($A27,Dec!$A$6:$A$31,0)),0)+IFERROR(INDEX(Jan!AH$6:AH$32,MATCH($A27,Jan!$A$6:$A$32,0)),0)+IFERROR(INDEX(Feb!AH$6:AH$28,MATCH($A27,Feb!$A$6:$A$28,0)),0)+IFERROR(INDEX(Mar!AH$6:AH$31,MATCH($A27,Mar!$A$6:$A$31,0)),0)+IFERROR(INDEX(Apr!AH$6:AH$31,MATCH($A27,Apr!$A$6:$A$31,0)),0)+IFERROR(INDEX(May!AH$6:AH$31,MATCH($A27,May!$A$6:$A$31,0)),0)+IFERROR(INDEX(Jun!AH$6:AH$31,MATCH($A27,Jun!$A$6:$A$31,0)),0)+IFERROR(INDEX(Jul!AH$6:AH$31,MATCH($A27,Jul!$A$6:$A$31,0)),0)</f>
        <v>0</v>
      </c>
      <c r="D27" s="50" t="str">
        <f t="shared" si="0"/>
        <v/>
      </c>
      <c r="E27" s="80">
        <f>IFERROR(INDEX(Aug!AI$6:AI$31,MATCH($A27,Aug!$A$6:$A$31,0)),0)+IFERROR(INDEX(Sep!AI$6:AI$31,MATCH($A27,Sep!$A$6:$A$31,0)),0)+IFERROR(INDEX(Oct!AI$6:AI$31,MATCH($A27,Oct!$A$6:$A$31,0)),0)+IFERROR(INDEX(Nov!AI$6:AI$31,MATCH($A27,Nov!$A$6:$A$31,0)),0)+IFERROR(INDEX(Dec!AI$6:AI$31,MATCH($A27,Dec!$A$6:$A$31,0)),0)+IFERROR(INDEX(Jan!AI$6:AI$32,MATCH($A27,Jan!$A$6:$A$32,0)),0)+IFERROR(INDEX(Feb!AI$6:AI$28,MATCH($A27,Feb!$A$6:$A$28,0)),0)+IFERROR(INDEX(Mar!AI$6:AI$31,MATCH($A27,Mar!$A$6:$A$31,0)),0)+IFERROR(INDEX(Apr!AI$6:AI$31,MATCH($A27,Apr!$A$6:$A$31,0)),0)+IFERROR(INDEX(May!AI$6:AI$31,MATCH($A27,May!$A$6:$A$31,0)),0)+IFERROR(INDEX(Jun!AI$6:AI$31,MATCH($A27,Jun!$A$6:$A$31,0)),0)+IFERROR(INDEX(Jul!AI$6:AI$31,MATCH($A27,Jul!$A$6:$A$31,0)),0)</f>
        <v>0</v>
      </c>
      <c r="F27" s="89" t="str">
        <f t="shared" si="1"/>
        <v/>
      </c>
      <c r="G27" s="80">
        <f>IFERROR(INDEX(Aug!AJ$6:AJ$31,MATCH($A27,Aug!$A$6:$A$31,0)),0)+IFERROR(INDEX(Sep!AJ$6:AJ$31,MATCH($A27,Sep!$A$6:$A$31,0)),0)+IFERROR(INDEX(Oct!AJ$6:AJ$31,MATCH($A27,Oct!$A$6:$A$31,0)),0)+IFERROR(INDEX(Nov!AJ$6:AJ$31,MATCH($A27,Nov!$A$6:$A$31,0)),0)+IFERROR(INDEX(Dec!AJ$6:AJ$31,MATCH($A27,Dec!$A$6:$A$31,0)),0)+IFERROR(INDEX(Jan!AJ$6:AJ$32,MATCH($A27,Jan!$A$6:$A$32,0)),0)+IFERROR(INDEX(Feb!AJ$6:AJ$28,MATCH($A27,Feb!$A$6:$A$28,0)),0)+IFERROR(INDEX(Mar!AJ$6:AJ$31,MATCH($A27,Mar!$A$6:$A$31,0)),0)+IFERROR(INDEX(Apr!AJ$6:AJ$31,MATCH($A27,Apr!$A$6:$A$31,0)),0)+IFERROR(INDEX(May!AJ$6:AJ$31,MATCH($A27,May!$A$6:$A$31,0)),0)+IFERROR(INDEX(Jun!AJ$6:AJ$31,MATCH($A27,Jun!$A$6:$A$31,0)),0)+IFERROR(INDEX(Jul!AJ$6:AJ$31,MATCH($A27,Jul!$A$6:$A$31,0)),0)</f>
        <v>0</v>
      </c>
      <c r="H27" s="89" t="str">
        <f t="shared" si="2"/>
        <v/>
      </c>
      <c r="I27" s="80">
        <f>IFERROR(INDEX(Aug!AK$6:AK$31,MATCH($A27,Aug!$A$6:$A$31,0)),0)+IFERROR(INDEX(Sep!AK$6:AK$31,MATCH($A27,Sep!$A$6:$A$31,0)),0)+IFERROR(INDEX(Oct!AK$6:AK$31,MATCH($A27,Oct!$A$6:$A$31,0)),0)+IFERROR(INDEX(Nov!AK$6:AK$31,MATCH($A27,Nov!$A$6:$A$31,0)),0)+IFERROR(INDEX(Dec!AK$6:AK$31,MATCH($A27,Dec!$A$6:$A$31,0)),0)+IFERROR(INDEX(Jan!AK$6:AK$32,MATCH($A27,Jan!$A$6:$A$32,0)),0)+IFERROR(INDEX(Feb!AK$6:AK$28,MATCH($A27,Feb!$A$6:$A$28,0)),0)+IFERROR(INDEX(Mar!AK$6:AK$31,MATCH($A27,Mar!$A$6:$A$31,0)),0)+IFERROR(INDEX(Apr!AK$6:AK$31,MATCH($A27,Apr!$A$6:$A$31,0)),0)+IFERROR(INDEX(May!AK$6:AK$31,MATCH($A27,May!$A$6:$A$31,0)),0)+IFERROR(INDEX(Jun!AK$6:AK$31,MATCH($A27,Jun!$A$6:$A$31,0)),0)+IFERROR(INDEX(Jul!AK$6:AK$31,MATCH($A27,Jul!$A$6:$A$31,0)),0)</f>
        <v>0</v>
      </c>
      <c r="J27" s="89" t="str">
        <f t="shared" si="3"/>
        <v/>
      </c>
      <c r="K27" s="80">
        <f>IFERROR(INDEX(Aug!AL$6:AL$31,MATCH($A27,Aug!$A$6:$A$31,0)),0)+IFERROR(INDEX(Sep!AL$6:AL$31,MATCH($A27,Sep!$A$6:$A$31,0)),0)+IFERROR(INDEX(Oct!AL$6:AL$31,MATCH($A27,Oct!$A$6:$A$31,0)),0)+IFERROR(INDEX(Nov!AL$6:AL$31,MATCH($A27,Nov!$A$6:$A$31,0)),0)+IFERROR(INDEX(Dec!AL$6:AL$31,MATCH($A27,Dec!$A$6:$A$31,0)),0)+IFERROR(INDEX(Jan!AL$6:AL$32,MATCH($A27,Jan!$A$6:$A$32,0)),0)+IFERROR(INDEX(Feb!AL$6:AL$28,MATCH($A27,Feb!$A$6:$A$28,0)),0)+IFERROR(INDEX(Mar!AL$6:AL$31,MATCH($A27,Mar!$A$6:$A$31,0)),0)+IFERROR(INDEX(Apr!AL$6:AL$31,MATCH($A27,Apr!$A$6:$A$31,0)),0)+IFERROR(INDEX(May!AL$6:AL$31,MATCH($A27,May!$A$6:$A$31,0)),0)+IFERROR(INDEX(Jun!AL$6:AL$31,MATCH($A27,Jun!$A$6:$A$31,0)),0)+IFERROR(INDEX(Jul!AL$6:AL$31,MATCH($A27,Jul!$A$6:$A$31,0)),0)</f>
        <v>0</v>
      </c>
      <c r="L27" s="89" t="str">
        <f t="shared" si="4"/>
        <v/>
      </c>
      <c r="M27" s="80">
        <f>IFERROR(INDEX(Aug!AM$6:AM$31,MATCH($A27,Aug!$A$6:$A$31,0)),0)+IFERROR(INDEX(Sep!AM$6:AM$31,MATCH($A27,Sep!$A$6:$A$31,0)),0)+IFERROR(INDEX(Oct!AM$6:AM$31,MATCH($A27,Oct!$A$6:$A$31,0)),0)+IFERROR(INDEX(Nov!AM$6:AM$31,MATCH($A27,Nov!$A$6:$A$31,0)),0)+IFERROR(INDEX(Dec!AM$6:AM$31,MATCH($A27,Dec!$A$6:$A$31,0)),0)+IFERROR(INDEX(Jan!AM$6:AM$32,MATCH($A27,Jan!$A$6:$A$32,0)),0)+IFERROR(INDEX(Feb!AM$6:AM$28,MATCH($A27,Feb!$A$6:$A$28,0)),0)+IFERROR(INDEX(Mar!AM$6:AM$31,MATCH($A27,Mar!$A$6:$A$31,0)),0)+IFERROR(INDEX(Apr!AM$6:AM$31,MATCH($A27,Apr!$A$6:$A$31,0)),0)+IFERROR(INDEX(May!AM$6:AM$31,MATCH($A27,May!$A$6:$A$31,0)),0)+IFERROR(INDEX(Jun!AM$6:AM$31,MATCH($A27,Jun!$A$6:$A$31,0)),0)+IFERROR(INDEX(Jul!AM$6:AM$31,MATCH($A27,Jul!$A$6:$A$31,0)),0)</f>
        <v>0</v>
      </c>
      <c r="N27" s="89" t="str">
        <f t="shared" si="5"/>
        <v/>
      </c>
      <c r="O27" s="80">
        <f>IFERROR(INDEX(Aug!AN$6:AN$31,MATCH($A27,Aug!$A$6:$A$31,0)),0)+IFERROR(INDEX(Sep!AN$6:AN$31,MATCH($A27,Sep!$A$6:$A$31,0)),0)+IFERROR(INDEX(Oct!AN$6:AN$31,MATCH($A27,Oct!$A$6:$A$31,0)),0)+IFERROR(INDEX(Nov!AN$6:AN$31,MATCH($A27,Nov!$A$6:$A$31,0)),0)+IFERROR(INDEX(Dec!AN$6:AN$31,MATCH($A27,Dec!$A$6:$A$31,0)),0)+IFERROR(INDEX(Jan!AN$6:AN$32,MATCH($A27,Jan!$A$6:$A$32,0)),0)+IFERROR(INDEX(Feb!AN$6:AN$28,MATCH($A27,Feb!$A$6:$A$28,0)),0)+IFERROR(INDEX(Mar!AN$6:AN$31,MATCH($A27,Mar!$A$6:$A$31,0)),0)+IFERROR(INDEX(Apr!AN$6:AN$31,MATCH($A27,Apr!$A$6:$A$31,0)),0)+IFERROR(INDEX(May!AN$6:AN$31,MATCH($A27,May!$A$6:$A$31,0)),0)+IFERROR(INDEX(Jun!AN$6:AN$31,MATCH($A27,Jun!$A$6:$A$31,0)),0)+IFERROR(INDEX(Jul!AN$6:AN$31,MATCH($A27,Jul!$A$6:$A$31,0)),0)</f>
        <v>0</v>
      </c>
      <c r="P27" s="50" t="str">
        <f t="shared" si="6"/>
        <v/>
      </c>
      <c r="Q27" s="100">
        <f>IFERROR(INDEX(Aug!AO$6:AO$31,MATCH($A27,Aug!$A$6:$A$31,0)),0)+IFERROR(INDEX(Sep!AO$6:AO$31,MATCH($A27,Sep!$A$6:$A$31,0)),0)+IFERROR(INDEX(Oct!AO$6:AO$31,MATCH($A27,Oct!$A$6:$A$31,0)),0)+IFERROR(INDEX(Nov!AO$6:AO$31,MATCH($A27,Nov!$A$6:$A$31,0)),0)+IFERROR(INDEX(Dec!AO$6:AO$31,MATCH($A27,Dec!$A$6:$A$31,0)),0)+IFERROR(INDEX(Jan!AO$6:AO$32,MATCH($A27,Jan!$A$6:$A$32,0)),0)+IFERROR(INDEX(Feb!AO$6:AO$28,MATCH($A27,Feb!$A$6:$A$28,0)),0)+IFERROR(INDEX(Mar!AO$6:AO$31,MATCH($A27,Mar!$A$6:$A$31,0)),0)+IFERROR(INDEX(Apr!AO$6:AO$31,MATCH($A27,Apr!$A$6:$A$31,0)),0)+IFERROR(INDEX(May!AO$6:AO$31,MATCH($A27,May!$A$6:$A$31,0)),0)+IFERROR(INDEX(Jun!AO$6:AO$31,MATCH($A27,Jun!$A$6:$A$31,0)),0)+IFERROR(INDEX(Jul!AO$6:AO$31,MATCH($A27,Jul!$A$6:$A$31,0)),0)</f>
        <v>0</v>
      </c>
      <c r="R27" s="101" t="str">
        <f t="shared" si="7"/>
        <v/>
      </c>
      <c r="S27" s="81">
        <f>C27+E27+G27+I27+K27+M27+O27+Q27</f>
        <v>0</v>
      </c>
    </row>
    <row r="28" spans="1:20" ht="18" customHeight="1" x14ac:dyDescent="0.25">
      <c r="A28" s="42">
        <v>25</v>
      </c>
      <c r="B28" s="76"/>
      <c r="C28" s="80">
        <f>IFERROR(INDEX(Aug!AH$6:AH$31,MATCH($A28,Aug!$A$6:$A$31,0)),0)+IFERROR(INDEX(Sep!AH$6:AH$31,MATCH($A28,Sep!$A$6:$A$31,0)),0)+IFERROR(INDEX(Oct!AH$6:AH$31,MATCH($A28,Oct!$A$6:$A$31,0)),0)+IFERROR(INDEX(Nov!AH$6:AH$31,MATCH($A28,Nov!$A$6:$A$31,0)),0)+IFERROR(INDEX(Dec!AH$6:AH$31,MATCH($A28,Dec!$A$6:$A$31,0)),0)+IFERROR(INDEX(Jan!AH$6:AH$32,MATCH($A28,Jan!$A$6:$A$32,0)),0)+IFERROR(INDEX(Feb!AH$6:AH$28,MATCH($A28,Feb!$A$6:$A$28,0)),0)+IFERROR(INDEX(Mar!AH$6:AH$31,MATCH($A28,Mar!$A$6:$A$31,0)),0)+IFERROR(INDEX(Apr!AH$6:AH$31,MATCH($A28,Apr!$A$6:$A$31,0)),0)+IFERROR(INDEX(May!AH$6:AH$31,MATCH($A28,May!$A$6:$A$31,0)),0)+IFERROR(INDEX(Jun!AH$6:AH$31,MATCH($A28,Jun!$A$6:$A$31,0)),0)+IFERROR(INDEX(Jul!AH$6:AH$31,MATCH($A28,Jul!$A$6:$A$31,0)),0)</f>
        <v>0</v>
      </c>
      <c r="D28" s="50" t="str">
        <f t="shared" si="0"/>
        <v/>
      </c>
      <c r="E28" s="80">
        <f>IFERROR(INDEX(Aug!AI$6:AI$31,MATCH($A28,Aug!$A$6:$A$31,0)),0)+IFERROR(INDEX(Sep!AI$6:AI$31,MATCH($A28,Sep!$A$6:$A$31,0)),0)+IFERROR(INDEX(Oct!AI$6:AI$31,MATCH($A28,Oct!$A$6:$A$31,0)),0)+IFERROR(INDEX(Nov!AI$6:AI$31,MATCH($A28,Nov!$A$6:$A$31,0)),0)+IFERROR(INDEX(Dec!AI$6:AI$31,MATCH($A28,Dec!$A$6:$A$31,0)),0)+IFERROR(INDEX(Jan!AI$6:AI$32,MATCH($A28,Jan!$A$6:$A$32,0)),0)+IFERROR(INDEX(Feb!AI$6:AI$28,MATCH($A28,Feb!$A$6:$A$28,0)),0)+IFERROR(INDEX(Mar!AI$6:AI$31,MATCH($A28,Mar!$A$6:$A$31,0)),0)+IFERROR(INDEX(Apr!AI$6:AI$31,MATCH($A28,Apr!$A$6:$A$31,0)),0)+IFERROR(INDEX(May!AI$6:AI$31,MATCH($A28,May!$A$6:$A$31,0)),0)+IFERROR(INDEX(Jun!AI$6:AI$31,MATCH($A28,Jun!$A$6:$A$31,0)),0)+IFERROR(INDEX(Jul!AI$6:AI$31,MATCH($A28,Jul!$A$6:$A$31,0)),0)</f>
        <v>0</v>
      </c>
      <c r="F28" s="89" t="str">
        <f t="shared" si="1"/>
        <v/>
      </c>
      <c r="G28" s="80">
        <f>IFERROR(INDEX(Aug!AJ$6:AJ$31,MATCH($A28,Aug!$A$6:$A$31,0)),0)+IFERROR(INDEX(Sep!AJ$6:AJ$31,MATCH($A28,Sep!$A$6:$A$31,0)),0)+IFERROR(INDEX(Oct!AJ$6:AJ$31,MATCH($A28,Oct!$A$6:$A$31,0)),0)+IFERROR(INDEX(Nov!AJ$6:AJ$31,MATCH($A28,Nov!$A$6:$A$31,0)),0)+IFERROR(INDEX(Dec!AJ$6:AJ$31,MATCH($A28,Dec!$A$6:$A$31,0)),0)+IFERROR(INDEX(Jan!AJ$6:AJ$32,MATCH($A28,Jan!$A$6:$A$32,0)),0)+IFERROR(INDEX(Feb!AJ$6:AJ$28,MATCH($A28,Feb!$A$6:$A$28,0)),0)+IFERROR(INDEX(Mar!AJ$6:AJ$31,MATCH($A28,Mar!$A$6:$A$31,0)),0)+IFERROR(INDEX(Apr!AJ$6:AJ$31,MATCH($A28,Apr!$A$6:$A$31,0)),0)+IFERROR(INDEX(May!AJ$6:AJ$31,MATCH($A28,May!$A$6:$A$31,0)),0)+IFERROR(INDEX(Jun!AJ$6:AJ$31,MATCH($A28,Jun!$A$6:$A$31,0)),0)+IFERROR(INDEX(Jul!AJ$6:AJ$31,MATCH($A28,Jul!$A$6:$A$31,0)),0)</f>
        <v>0</v>
      </c>
      <c r="H28" s="89" t="str">
        <f t="shared" si="2"/>
        <v/>
      </c>
      <c r="I28" s="80">
        <f>IFERROR(INDEX(Aug!AK$6:AK$31,MATCH($A28,Aug!$A$6:$A$31,0)),0)+IFERROR(INDEX(Sep!AK$6:AK$31,MATCH($A28,Sep!$A$6:$A$31,0)),0)+IFERROR(INDEX(Oct!AK$6:AK$31,MATCH($A28,Oct!$A$6:$A$31,0)),0)+IFERROR(INDEX(Nov!AK$6:AK$31,MATCH($A28,Nov!$A$6:$A$31,0)),0)+IFERROR(INDEX(Dec!AK$6:AK$31,MATCH($A28,Dec!$A$6:$A$31,0)),0)+IFERROR(INDEX(Jan!AK$6:AK$32,MATCH($A28,Jan!$A$6:$A$32,0)),0)+IFERROR(INDEX(Feb!AK$6:AK$28,MATCH($A28,Feb!$A$6:$A$28,0)),0)+IFERROR(INDEX(Mar!AK$6:AK$31,MATCH($A28,Mar!$A$6:$A$31,0)),0)+IFERROR(INDEX(Apr!AK$6:AK$31,MATCH($A28,Apr!$A$6:$A$31,0)),0)+IFERROR(INDEX(May!AK$6:AK$31,MATCH($A28,May!$A$6:$A$31,0)),0)+IFERROR(INDEX(Jun!AK$6:AK$31,MATCH($A28,Jun!$A$6:$A$31,0)),0)+IFERROR(INDEX(Jul!AK$6:AK$31,MATCH($A28,Jul!$A$6:$A$31,0)),0)</f>
        <v>0</v>
      </c>
      <c r="J28" s="89" t="str">
        <f t="shared" si="3"/>
        <v/>
      </c>
      <c r="K28" s="80">
        <f>IFERROR(INDEX(Aug!AL$6:AL$31,MATCH($A28,Aug!$A$6:$A$31,0)),0)+IFERROR(INDEX(Sep!AL$6:AL$31,MATCH($A28,Sep!$A$6:$A$31,0)),0)+IFERROR(INDEX(Oct!AL$6:AL$31,MATCH($A28,Oct!$A$6:$A$31,0)),0)+IFERROR(INDEX(Nov!AL$6:AL$31,MATCH($A28,Nov!$A$6:$A$31,0)),0)+IFERROR(INDEX(Dec!AL$6:AL$31,MATCH($A28,Dec!$A$6:$A$31,0)),0)+IFERROR(INDEX(Jan!AL$6:AL$32,MATCH($A28,Jan!$A$6:$A$32,0)),0)+IFERROR(INDEX(Feb!AL$6:AL$28,MATCH($A28,Feb!$A$6:$A$28,0)),0)+IFERROR(INDEX(Mar!AL$6:AL$31,MATCH($A28,Mar!$A$6:$A$31,0)),0)+IFERROR(INDEX(Apr!AL$6:AL$31,MATCH($A28,Apr!$A$6:$A$31,0)),0)+IFERROR(INDEX(May!AL$6:AL$31,MATCH($A28,May!$A$6:$A$31,0)),0)+IFERROR(INDEX(Jun!AL$6:AL$31,MATCH($A28,Jun!$A$6:$A$31,0)),0)+IFERROR(INDEX(Jul!AL$6:AL$31,MATCH($A28,Jul!$A$6:$A$31,0)),0)</f>
        <v>0</v>
      </c>
      <c r="L28" s="89" t="str">
        <f t="shared" si="4"/>
        <v/>
      </c>
      <c r="M28" s="80">
        <f>IFERROR(INDEX(Aug!AM$6:AM$31,MATCH($A28,Aug!$A$6:$A$31,0)),0)+IFERROR(INDEX(Sep!AM$6:AM$31,MATCH($A28,Sep!$A$6:$A$31,0)),0)+IFERROR(INDEX(Oct!AM$6:AM$31,MATCH($A28,Oct!$A$6:$A$31,0)),0)+IFERROR(INDEX(Nov!AM$6:AM$31,MATCH($A28,Nov!$A$6:$A$31,0)),0)+IFERROR(INDEX(Dec!AM$6:AM$31,MATCH($A28,Dec!$A$6:$A$31,0)),0)+IFERROR(INDEX(Jan!AM$6:AM$32,MATCH($A28,Jan!$A$6:$A$32,0)),0)+IFERROR(INDEX(Feb!AM$6:AM$28,MATCH($A28,Feb!$A$6:$A$28,0)),0)+IFERROR(INDEX(Mar!AM$6:AM$31,MATCH($A28,Mar!$A$6:$A$31,0)),0)+IFERROR(INDEX(Apr!AM$6:AM$31,MATCH($A28,Apr!$A$6:$A$31,0)),0)+IFERROR(INDEX(May!AM$6:AM$31,MATCH($A28,May!$A$6:$A$31,0)),0)+IFERROR(INDEX(Jun!AM$6:AM$31,MATCH($A28,Jun!$A$6:$A$31,0)),0)+IFERROR(INDEX(Jul!AM$6:AM$31,MATCH($A28,Jul!$A$6:$A$31,0)),0)</f>
        <v>0</v>
      </c>
      <c r="N28" s="89" t="str">
        <f t="shared" si="5"/>
        <v/>
      </c>
      <c r="O28" s="80">
        <f>IFERROR(INDEX(Aug!AN$6:AN$31,MATCH($A28,Aug!$A$6:$A$31,0)),0)+IFERROR(INDEX(Sep!AN$6:AN$31,MATCH($A28,Sep!$A$6:$A$31,0)),0)+IFERROR(INDEX(Oct!AN$6:AN$31,MATCH($A28,Oct!$A$6:$A$31,0)),0)+IFERROR(INDEX(Nov!AN$6:AN$31,MATCH($A28,Nov!$A$6:$A$31,0)),0)+IFERROR(INDEX(Dec!AN$6:AN$31,MATCH($A28,Dec!$A$6:$A$31,0)),0)+IFERROR(INDEX(Jan!AN$6:AN$32,MATCH($A28,Jan!$A$6:$A$32,0)),0)+IFERROR(INDEX(Feb!AN$6:AN$28,MATCH($A28,Feb!$A$6:$A$28,0)),0)+IFERROR(INDEX(Mar!AN$6:AN$31,MATCH($A28,Mar!$A$6:$A$31,0)),0)+IFERROR(INDEX(Apr!AN$6:AN$31,MATCH($A28,Apr!$A$6:$A$31,0)),0)+IFERROR(INDEX(May!AN$6:AN$31,MATCH($A28,May!$A$6:$A$31,0)),0)+IFERROR(INDEX(Jun!AN$6:AN$31,MATCH($A28,Jun!$A$6:$A$31,0)),0)+IFERROR(INDEX(Jul!AN$6:AN$31,MATCH($A28,Jul!$A$6:$A$31,0)),0)</f>
        <v>0</v>
      </c>
      <c r="P28" s="50" t="str">
        <f t="shared" si="6"/>
        <v/>
      </c>
      <c r="Q28" s="100">
        <f>IFERROR(INDEX(Aug!AO$6:AO$31,MATCH($A28,Aug!$A$6:$A$31,0)),0)+IFERROR(INDEX(Sep!AO$6:AO$31,MATCH($A28,Sep!$A$6:$A$31,0)),0)+IFERROR(INDEX(Oct!AO$6:AO$31,MATCH($A28,Oct!$A$6:$A$31,0)),0)+IFERROR(INDEX(Nov!AO$6:AO$31,MATCH($A28,Nov!$A$6:$A$31,0)),0)+IFERROR(INDEX(Dec!AO$6:AO$31,MATCH($A28,Dec!$A$6:$A$31,0)),0)+IFERROR(INDEX(Jan!AO$6:AO$32,MATCH($A28,Jan!$A$6:$A$32,0)),0)+IFERROR(INDEX(Feb!AO$6:AO$28,MATCH($A28,Feb!$A$6:$A$28,0)),0)+IFERROR(INDEX(Mar!AO$6:AO$31,MATCH($A28,Mar!$A$6:$A$31,0)),0)+IFERROR(INDEX(Apr!AO$6:AO$31,MATCH($A28,Apr!$A$6:$A$31,0)),0)+IFERROR(INDEX(May!AO$6:AO$31,MATCH($A28,May!$A$6:$A$31,0)),0)+IFERROR(INDEX(Jun!AO$6:AO$31,MATCH($A28,Jun!$A$6:$A$31,0)),0)+IFERROR(INDEX(Jul!AO$6:AO$31,MATCH($A28,Jul!$A$6:$A$31,0)),0)</f>
        <v>0</v>
      </c>
      <c r="R28" s="101" t="str">
        <f t="shared" si="7"/>
        <v/>
      </c>
      <c r="S28" s="81">
        <f>C28+E28+G28+I28+K28+M28+O28+Q28</f>
        <v>0</v>
      </c>
    </row>
    <row r="29" spans="1:20" ht="18" customHeight="1" x14ac:dyDescent="0.25">
      <c r="A29" s="42">
        <v>26</v>
      </c>
      <c r="B29" s="76"/>
      <c r="C29" s="80">
        <f>IFERROR(INDEX(Aug!AH$6:AH$31,MATCH($A29,Aug!$A$6:$A$31,0)),0)+IFERROR(INDEX(Sep!AH$6:AH$31,MATCH($A29,Sep!$A$6:$A$31,0)),0)+IFERROR(INDEX(Oct!AH$6:AH$31,MATCH($A29,Oct!$A$6:$A$31,0)),0)+IFERROR(INDEX(Nov!AH$6:AH$31,MATCH($A29,Nov!$A$6:$A$31,0)),0)+IFERROR(INDEX(Dec!AH$6:AH$31,MATCH($A29,Dec!$A$6:$A$31,0)),0)+IFERROR(INDEX(Jan!AH$6:AH$32,MATCH($A29,Jan!$A$6:$A$32,0)),0)+IFERROR(INDEX(Feb!AH$6:AH$28,MATCH($A29,Feb!$A$6:$A$28,0)),0)+IFERROR(INDEX(Mar!AH$6:AH$31,MATCH($A29,Mar!$A$6:$A$31,0)),0)+IFERROR(INDEX(Apr!AH$6:AH$31,MATCH($A29,Apr!$A$6:$A$31,0)),0)+IFERROR(INDEX(May!AH$6:AH$31,MATCH($A29,May!$A$6:$A$31,0)),0)+IFERROR(INDEX(Jun!AH$6:AH$31,MATCH($A29,Jun!$A$6:$A$31,0)),0)+IFERROR(INDEX(Jul!AH$6:AH$31,MATCH($A29,Jul!$A$6:$A$31,0)),0)</f>
        <v>0</v>
      </c>
      <c r="D29" s="50" t="str">
        <f t="shared" si="0"/>
        <v/>
      </c>
      <c r="E29" s="80">
        <f>IFERROR(INDEX(Aug!AI$6:AI$31,MATCH($A29,Aug!$A$6:$A$31,0)),0)+IFERROR(INDEX(Sep!AI$6:AI$31,MATCH($A29,Sep!$A$6:$A$31,0)),0)+IFERROR(INDEX(Oct!AI$6:AI$31,MATCH($A29,Oct!$A$6:$A$31,0)),0)+IFERROR(INDEX(Nov!AI$6:AI$31,MATCH($A29,Nov!$A$6:$A$31,0)),0)+IFERROR(INDEX(Dec!AI$6:AI$31,MATCH($A29,Dec!$A$6:$A$31,0)),0)+IFERROR(INDEX(Jan!AI$6:AI$32,MATCH($A29,Jan!$A$6:$A$32,0)),0)+IFERROR(INDEX(Feb!AI$6:AI$28,MATCH($A29,Feb!$A$6:$A$28,0)),0)+IFERROR(INDEX(Mar!AI$6:AI$31,MATCH($A29,Mar!$A$6:$A$31,0)),0)+IFERROR(INDEX(Apr!AI$6:AI$31,MATCH($A29,Apr!$A$6:$A$31,0)),0)+IFERROR(INDEX(May!AI$6:AI$31,MATCH($A29,May!$A$6:$A$31,0)),0)+IFERROR(INDEX(Jun!AI$6:AI$31,MATCH($A29,Jun!$A$6:$A$31,0)),0)+IFERROR(INDEX(Jul!AI$6:AI$31,MATCH($A29,Jul!$A$6:$A$31,0)),0)</f>
        <v>0</v>
      </c>
      <c r="F29" s="89" t="str">
        <f t="shared" si="1"/>
        <v/>
      </c>
      <c r="G29" s="80">
        <f>IFERROR(INDEX(Aug!AJ$6:AJ$31,MATCH($A29,Aug!$A$6:$A$31,0)),0)+IFERROR(INDEX(Sep!AJ$6:AJ$31,MATCH($A29,Sep!$A$6:$A$31,0)),0)+IFERROR(INDEX(Oct!AJ$6:AJ$31,MATCH($A29,Oct!$A$6:$A$31,0)),0)+IFERROR(INDEX(Nov!AJ$6:AJ$31,MATCH($A29,Nov!$A$6:$A$31,0)),0)+IFERROR(INDEX(Dec!AJ$6:AJ$31,MATCH($A29,Dec!$A$6:$A$31,0)),0)+IFERROR(INDEX(Jan!AJ$6:AJ$32,MATCH($A29,Jan!$A$6:$A$32,0)),0)+IFERROR(INDEX(Feb!AJ$6:AJ$28,MATCH($A29,Feb!$A$6:$A$28,0)),0)+IFERROR(INDEX(Mar!AJ$6:AJ$31,MATCH($A29,Mar!$A$6:$A$31,0)),0)+IFERROR(INDEX(Apr!AJ$6:AJ$31,MATCH($A29,Apr!$A$6:$A$31,0)),0)+IFERROR(INDEX(May!AJ$6:AJ$31,MATCH($A29,May!$A$6:$A$31,0)),0)+IFERROR(INDEX(Jun!AJ$6:AJ$31,MATCH($A29,Jun!$A$6:$A$31,0)),0)+IFERROR(INDEX(Jul!AJ$6:AJ$31,MATCH($A29,Jul!$A$6:$A$31,0)),0)</f>
        <v>0</v>
      </c>
      <c r="H29" s="89" t="str">
        <f t="shared" si="2"/>
        <v/>
      </c>
      <c r="I29" s="80">
        <f>IFERROR(INDEX(Aug!AK$6:AK$31,MATCH($A29,Aug!$A$6:$A$31,0)),0)+IFERROR(INDEX(Sep!AK$6:AK$31,MATCH($A29,Sep!$A$6:$A$31,0)),0)+IFERROR(INDEX(Oct!AK$6:AK$31,MATCH($A29,Oct!$A$6:$A$31,0)),0)+IFERROR(INDEX(Nov!AK$6:AK$31,MATCH($A29,Nov!$A$6:$A$31,0)),0)+IFERROR(INDEX(Dec!AK$6:AK$31,MATCH($A29,Dec!$A$6:$A$31,0)),0)+IFERROR(INDEX(Jan!AK$6:AK$32,MATCH($A29,Jan!$A$6:$A$32,0)),0)+IFERROR(INDEX(Feb!AK$6:AK$28,MATCH($A29,Feb!$A$6:$A$28,0)),0)+IFERROR(INDEX(Mar!AK$6:AK$31,MATCH($A29,Mar!$A$6:$A$31,0)),0)+IFERROR(INDEX(Apr!AK$6:AK$31,MATCH($A29,Apr!$A$6:$A$31,0)),0)+IFERROR(INDEX(May!AK$6:AK$31,MATCH($A29,May!$A$6:$A$31,0)),0)+IFERROR(INDEX(Jun!AK$6:AK$31,MATCH($A29,Jun!$A$6:$A$31,0)),0)+IFERROR(INDEX(Jul!AK$6:AK$31,MATCH($A29,Jul!$A$6:$A$31,0)),0)</f>
        <v>0</v>
      </c>
      <c r="J29" s="89" t="str">
        <f t="shared" si="3"/>
        <v/>
      </c>
      <c r="K29" s="80">
        <f>IFERROR(INDEX(Aug!AL$6:AL$31,MATCH($A29,Aug!$A$6:$A$31,0)),0)+IFERROR(INDEX(Sep!AL$6:AL$31,MATCH($A29,Sep!$A$6:$A$31,0)),0)+IFERROR(INDEX(Oct!AL$6:AL$31,MATCH($A29,Oct!$A$6:$A$31,0)),0)+IFERROR(INDEX(Nov!AL$6:AL$31,MATCH($A29,Nov!$A$6:$A$31,0)),0)+IFERROR(INDEX(Dec!AL$6:AL$31,MATCH($A29,Dec!$A$6:$A$31,0)),0)+IFERROR(INDEX(Jan!AL$6:AL$32,MATCH($A29,Jan!$A$6:$A$32,0)),0)+IFERROR(INDEX(Feb!AL$6:AL$28,MATCH($A29,Feb!$A$6:$A$28,0)),0)+IFERROR(INDEX(Mar!AL$6:AL$31,MATCH($A29,Mar!$A$6:$A$31,0)),0)+IFERROR(INDEX(Apr!AL$6:AL$31,MATCH($A29,Apr!$A$6:$A$31,0)),0)+IFERROR(INDEX(May!AL$6:AL$31,MATCH($A29,May!$A$6:$A$31,0)),0)+IFERROR(INDEX(Jun!AL$6:AL$31,MATCH($A29,Jun!$A$6:$A$31,0)),0)+IFERROR(INDEX(Jul!AL$6:AL$31,MATCH($A29,Jul!$A$6:$A$31,0)),0)</f>
        <v>0</v>
      </c>
      <c r="L29" s="89" t="str">
        <f t="shared" si="4"/>
        <v/>
      </c>
      <c r="M29" s="80">
        <f>IFERROR(INDEX(Aug!AM$6:AM$31,MATCH($A29,Aug!$A$6:$A$31,0)),0)+IFERROR(INDEX(Sep!AM$6:AM$31,MATCH($A29,Sep!$A$6:$A$31,0)),0)+IFERROR(INDEX(Oct!AM$6:AM$31,MATCH($A29,Oct!$A$6:$A$31,0)),0)+IFERROR(INDEX(Nov!AM$6:AM$31,MATCH($A29,Nov!$A$6:$A$31,0)),0)+IFERROR(INDEX(Dec!AM$6:AM$31,MATCH($A29,Dec!$A$6:$A$31,0)),0)+IFERROR(INDEX(Jan!AM$6:AM$32,MATCH($A29,Jan!$A$6:$A$32,0)),0)+IFERROR(INDEX(Feb!AM$6:AM$28,MATCH($A29,Feb!$A$6:$A$28,0)),0)+IFERROR(INDEX(Mar!AM$6:AM$31,MATCH($A29,Mar!$A$6:$A$31,0)),0)+IFERROR(INDEX(Apr!AM$6:AM$31,MATCH($A29,Apr!$A$6:$A$31,0)),0)+IFERROR(INDEX(May!AM$6:AM$31,MATCH($A29,May!$A$6:$A$31,0)),0)+IFERROR(INDEX(Jun!AM$6:AM$31,MATCH($A29,Jun!$A$6:$A$31,0)),0)+IFERROR(INDEX(Jul!AM$6:AM$31,MATCH($A29,Jul!$A$6:$A$31,0)),0)</f>
        <v>0</v>
      </c>
      <c r="N29" s="89" t="str">
        <f t="shared" si="5"/>
        <v/>
      </c>
      <c r="O29" s="80">
        <f>IFERROR(INDEX(Aug!AN$6:AN$31,MATCH($A29,Aug!$A$6:$A$31,0)),0)+IFERROR(INDEX(Sep!AN$6:AN$31,MATCH($A29,Sep!$A$6:$A$31,0)),0)+IFERROR(INDEX(Oct!AN$6:AN$31,MATCH($A29,Oct!$A$6:$A$31,0)),0)+IFERROR(INDEX(Nov!AN$6:AN$31,MATCH($A29,Nov!$A$6:$A$31,0)),0)+IFERROR(INDEX(Dec!AN$6:AN$31,MATCH($A29,Dec!$A$6:$A$31,0)),0)+IFERROR(INDEX(Jan!AN$6:AN$32,MATCH($A29,Jan!$A$6:$A$32,0)),0)+IFERROR(INDEX(Feb!AN$6:AN$28,MATCH($A29,Feb!$A$6:$A$28,0)),0)+IFERROR(INDEX(Mar!AN$6:AN$31,MATCH($A29,Mar!$A$6:$A$31,0)),0)+IFERROR(INDEX(Apr!AN$6:AN$31,MATCH($A29,Apr!$A$6:$A$31,0)),0)+IFERROR(INDEX(May!AN$6:AN$31,MATCH($A29,May!$A$6:$A$31,0)),0)+IFERROR(INDEX(Jun!AN$6:AN$31,MATCH($A29,Jun!$A$6:$A$31,0)),0)+IFERROR(INDEX(Jul!AN$6:AN$31,MATCH($A29,Jul!$A$6:$A$31,0)),0)</f>
        <v>0</v>
      </c>
      <c r="P29" s="50" t="str">
        <f t="shared" si="6"/>
        <v/>
      </c>
      <c r="Q29" s="100">
        <f>IFERROR(INDEX(Aug!AO$6:AO$31,MATCH($A29,Aug!$A$6:$A$31,0)),0)+IFERROR(INDEX(Sep!AO$6:AO$31,MATCH($A29,Sep!$A$6:$A$31,0)),0)+IFERROR(INDEX(Oct!AO$6:AO$31,MATCH($A29,Oct!$A$6:$A$31,0)),0)+IFERROR(INDEX(Nov!AO$6:AO$31,MATCH($A29,Nov!$A$6:$A$31,0)),0)+IFERROR(INDEX(Dec!AO$6:AO$31,MATCH($A29,Dec!$A$6:$A$31,0)),0)+IFERROR(INDEX(Jan!AO$6:AO$32,MATCH($A29,Jan!$A$6:$A$32,0)),0)+IFERROR(INDEX(Feb!AO$6:AO$28,MATCH($A29,Feb!$A$6:$A$28,0)),0)+IFERROR(INDEX(Mar!AO$6:AO$31,MATCH($A29,Mar!$A$6:$A$31,0)),0)+IFERROR(INDEX(Apr!AO$6:AO$31,MATCH($A29,Apr!$A$6:$A$31,0)),0)+IFERROR(INDEX(May!AO$6:AO$31,MATCH($A29,May!$A$6:$A$31,0)),0)+IFERROR(INDEX(Jun!AO$6:AO$31,MATCH($A29,Jun!$A$6:$A$31,0)),0)+IFERROR(INDEX(Jul!AO$6:AO$31,MATCH($A29,Jul!$A$6:$A$31,0)),0)</f>
        <v>0</v>
      </c>
      <c r="R29" s="101" t="str">
        <f t="shared" si="7"/>
        <v/>
      </c>
      <c r="S29" s="81">
        <f>C29+E29+G29+I29+K29+M29+O29+Q29</f>
        <v>0</v>
      </c>
    </row>
    <row r="30" spans="1:20" ht="18" customHeight="1" x14ac:dyDescent="0.25">
      <c r="A30" s="42">
        <v>27</v>
      </c>
      <c r="B30" s="76"/>
      <c r="C30" s="80">
        <f>IFERROR(INDEX(Aug!AH$6:AH$31,MATCH($A30,Aug!$A$6:$A$31,0)),0)+IFERROR(INDEX(Sep!AH$6:AH$31,MATCH($A30,Sep!$A$6:$A$31,0)),0)+IFERROR(INDEX(Oct!AH$6:AH$31,MATCH($A30,Oct!$A$6:$A$31,0)),0)+IFERROR(INDEX(Nov!AH$6:AH$31,MATCH($A30,Nov!$A$6:$A$31,0)),0)+IFERROR(INDEX(Dec!AH$6:AH$31,MATCH($A30,Dec!$A$6:$A$31,0)),0)+IFERROR(INDEX(Jan!AH$6:AH$32,MATCH($A30,Jan!$A$6:$A$32,0)),0)+IFERROR(INDEX(Feb!AH$6:AH$28,MATCH($A30,Feb!$A$6:$A$28,0)),0)+IFERROR(INDEX(Mar!AH$6:AH$31,MATCH($A30,Mar!$A$6:$A$31,0)),0)+IFERROR(INDEX(Apr!AH$6:AH$31,MATCH($A30,Apr!$A$6:$A$31,0)),0)+IFERROR(INDEX(May!AH$6:AH$31,MATCH($A30,May!$A$6:$A$31,0)),0)+IFERROR(INDEX(Jun!AH$6:AH$31,MATCH($A30,Jun!$A$6:$A$31,0)),0)+IFERROR(INDEX(Jul!AH$6:AH$31,MATCH($A30,Jul!$A$6:$A$31,0)),0)</f>
        <v>0</v>
      </c>
      <c r="D30" s="50" t="str">
        <f t="shared" si="0"/>
        <v/>
      </c>
      <c r="E30" s="80">
        <f>IFERROR(INDEX(Aug!AI$6:AI$31,MATCH($A30,Aug!$A$6:$A$31,0)),0)+IFERROR(INDEX(Sep!AI$6:AI$31,MATCH($A30,Sep!$A$6:$A$31,0)),0)+IFERROR(INDEX(Oct!AI$6:AI$31,MATCH($A30,Oct!$A$6:$A$31,0)),0)+IFERROR(INDEX(Nov!AI$6:AI$31,MATCH($A30,Nov!$A$6:$A$31,0)),0)+IFERROR(INDEX(Dec!AI$6:AI$31,MATCH($A30,Dec!$A$6:$A$31,0)),0)+IFERROR(INDEX(Jan!AI$6:AI$32,MATCH($A30,Jan!$A$6:$A$32,0)),0)+IFERROR(INDEX(Feb!AI$6:AI$28,MATCH($A30,Feb!$A$6:$A$28,0)),0)+IFERROR(INDEX(Mar!AI$6:AI$31,MATCH($A30,Mar!$A$6:$A$31,0)),0)+IFERROR(INDEX(Apr!AI$6:AI$31,MATCH($A30,Apr!$A$6:$A$31,0)),0)+IFERROR(INDEX(May!AI$6:AI$31,MATCH($A30,May!$A$6:$A$31,0)),0)+IFERROR(INDEX(Jun!AI$6:AI$31,MATCH($A30,Jun!$A$6:$A$31,0)),0)+IFERROR(INDEX(Jul!AI$6:AI$31,MATCH($A30,Jul!$A$6:$A$31,0)),0)</f>
        <v>0</v>
      </c>
      <c r="F30" s="89" t="str">
        <f t="shared" si="1"/>
        <v/>
      </c>
      <c r="G30" s="80">
        <f>IFERROR(INDEX(Aug!AJ$6:AJ$31,MATCH($A30,Aug!$A$6:$A$31,0)),0)+IFERROR(INDEX(Sep!AJ$6:AJ$31,MATCH($A30,Sep!$A$6:$A$31,0)),0)+IFERROR(INDEX(Oct!AJ$6:AJ$31,MATCH($A30,Oct!$A$6:$A$31,0)),0)+IFERROR(INDEX(Nov!AJ$6:AJ$31,MATCH($A30,Nov!$A$6:$A$31,0)),0)+IFERROR(INDEX(Dec!AJ$6:AJ$31,MATCH($A30,Dec!$A$6:$A$31,0)),0)+IFERROR(INDEX(Jan!AJ$6:AJ$32,MATCH($A30,Jan!$A$6:$A$32,0)),0)+IFERROR(INDEX(Feb!AJ$6:AJ$28,MATCH($A30,Feb!$A$6:$A$28,0)),0)+IFERROR(INDEX(Mar!AJ$6:AJ$31,MATCH($A30,Mar!$A$6:$A$31,0)),0)+IFERROR(INDEX(Apr!AJ$6:AJ$31,MATCH($A30,Apr!$A$6:$A$31,0)),0)+IFERROR(INDEX(May!AJ$6:AJ$31,MATCH($A30,May!$A$6:$A$31,0)),0)+IFERROR(INDEX(Jun!AJ$6:AJ$31,MATCH($A30,Jun!$A$6:$A$31,0)),0)+IFERROR(INDEX(Jul!AJ$6:AJ$31,MATCH($A30,Jul!$A$6:$A$31,0)),0)</f>
        <v>0</v>
      </c>
      <c r="H30" s="89" t="str">
        <f t="shared" si="2"/>
        <v/>
      </c>
      <c r="I30" s="80">
        <f>IFERROR(INDEX(Aug!AK$6:AK$31,MATCH($A30,Aug!$A$6:$A$31,0)),0)+IFERROR(INDEX(Sep!AK$6:AK$31,MATCH($A30,Sep!$A$6:$A$31,0)),0)+IFERROR(INDEX(Oct!AK$6:AK$31,MATCH($A30,Oct!$A$6:$A$31,0)),0)+IFERROR(INDEX(Nov!AK$6:AK$31,MATCH($A30,Nov!$A$6:$A$31,0)),0)+IFERROR(INDEX(Dec!AK$6:AK$31,MATCH($A30,Dec!$A$6:$A$31,0)),0)+IFERROR(INDEX(Jan!AK$6:AK$32,MATCH($A30,Jan!$A$6:$A$32,0)),0)+IFERROR(INDEX(Feb!AK$6:AK$28,MATCH($A30,Feb!$A$6:$A$28,0)),0)+IFERROR(INDEX(Mar!AK$6:AK$31,MATCH($A30,Mar!$A$6:$A$31,0)),0)+IFERROR(INDEX(Apr!AK$6:AK$31,MATCH($A30,Apr!$A$6:$A$31,0)),0)+IFERROR(INDEX(May!AK$6:AK$31,MATCH($A30,May!$A$6:$A$31,0)),0)+IFERROR(INDEX(Jun!AK$6:AK$31,MATCH($A30,Jun!$A$6:$A$31,0)),0)+IFERROR(INDEX(Jul!AK$6:AK$31,MATCH($A30,Jul!$A$6:$A$31,0)),0)</f>
        <v>0</v>
      </c>
      <c r="J30" s="89" t="str">
        <f t="shared" si="3"/>
        <v/>
      </c>
      <c r="K30" s="80">
        <f>IFERROR(INDEX(Aug!AL$6:AL$31,MATCH($A30,Aug!$A$6:$A$31,0)),0)+IFERROR(INDEX(Sep!AL$6:AL$31,MATCH($A30,Sep!$A$6:$A$31,0)),0)+IFERROR(INDEX(Oct!AL$6:AL$31,MATCH($A30,Oct!$A$6:$A$31,0)),0)+IFERROR(INDEX(Nov!AL$6:AL$31,MATCH($A30,Nov!$A$6:$A$31,0)),0)+IFERROR(INDEX(Dec!AL$6:AL$31,MATCH($A30,Dec!$A$6:$A$31,0)),0)+IFERROR(INDEX(Jan!AL$6:AL$32,MATCH($A30,Jan!$A$6:$A$32,0)),0)+IFERROR(INDEX(Feb!AL$6:AL$28,MATCH($A30,Feb!$A$6:$A$28,0)),0)+IFERROR(INDEX(Mar!AL$6:AL$31,MATCH($A30,Mar!$A$6:$A$31,0)),0)+IFERROR(INDEX(Apr!AL$6:AL$31,MATCH($A30,Apr!$A$6:$A$31,0)),0)+IFERROR(INDEX(May!AL$6:AL$31,MATCH($A30,May!$A$6:$A$31,0)),0)+IFERROR(INDEX(Jun!AL$6:AL$31,MATCH($A30,Jun!$A$6:$A$31,0)),0)+IFERROR(INDEX(Jul!AL$6:AL$31,MATCH($A30,Jul!$A$6:$A$31,0)),0)</f>
        <v>0</v>
      </c>
      <c r="L30" s="89" t="str">
        <f t="shared" si="4"/>
        <v/>
      </c>
      <c r="M30" s="80">
        <f>IFERROR(INDEX(Aug!AM$6:AM$31,MATCH($A30,Aug!$A$6:$A$31,0)),0)+IFERROR(INDEX(Sep!AM$6:AM$31,MATCH($A30,Sep!$A$6:$A$31,0)),0)+IFERROR(INDEX(Oct!AM$6:AM$31,MATCH($A30,Oct!$A$6:$A$31,0)),0)+IFERROR(INDEX(Nov!AM$6:AM$31,MATCH($A30,Nov!$A$6:$A$31,0)),0)+IFERROR(INDEX(Dec!AM$6:AM$31,MATCH($A30,Dec!$A$6:$A$31,0)),0)+IFERROR(INDEX(Jan!AM$6:AM$32,MATCH($A30,Jan!$A$6:$A$32,0)),0)+IFERROR(INDEX(Feb!AM$6:AM$28,MATCH($A30,Feb!$A$6:$A$28,0)),0)+IFERROR(INDEX(Mar!AM$6:AM$31,MATCH($A30,Mar!$A$6:$A$31,0)),0)+IFERROR(INDEX(Apr!AM$6:AM$31,MATCH($A30,Apr!$A$6:$A$31,0)),0)+IFERROR(INDEX(May!AM$6:AM$31,MATCH($A30,May!$A$6:$A$31,0)),0)+IFERROR(INDEX(Jun!AM$6:AM$31,MATCH($A30,Jun!$A$6:$A$31,0)),0)+IFERROR(INDEX(Jul!AM$6:AM$31,MATCH($A30,Jul!$A$6:$A$31,0)),0)</f>
        <v>0</v>
      </c>
      <c r="N30" s="89" t="str">
        <f t="shared" si="5"/>
        <v/>
      </c>
      <c r="O30" s="80">
        <f>IFERROR(INDEX(Aug!AN$6:AN$31,MATCH($A30,Aug!$A$6:$A$31,0)),0)+IFERROR(INDEX(Sep!AN$6:AN$31,MATCH($A30,Sep!$A$6:$A$31,0)),0)+IFERROR(INDEX(Oct!AN$6:AN$31,MATCH($A30,Oct!$A$6:$A$31,0)),0)+IFERROR(INDEX(Nov!AN$6:AN$31,MATCH($A30,Nov!$A$6:$A$31,0)),0)+IFERROR(INDEX(Dec!AN$6:AN$31,MATCH($A30,Dec!$A$6:$A$31,0)),0)+IFERROR(INDEX(Jan!AN$6:AN$32,MATCH($A30,Jan!$A$6:$A$32,0)),0)+IFERROR(INDEX(Feb!AN$6:AN$28,MATCH($A30,Feb!$A$6:$A$28,0)),0)+IFERROR(INDEX(Mar!AN$6:AN$31,MATCH($A30,Mar!$A$6:$A$31,0)),0)+IFERROR(INDEX(Apr!AN$6:AN$31,MATCH($A30,Apr!$A$6:$A$31,0)),0)+IFERROR(INDEX(May!AN$6:AN$31,MATCH($A30,May!$A$6:$A$31,0)),0)+IFERROR(INDEX(Jun!AN$6:AN$31,MATCH($A30,Jun!$A$6:$A$31,0)),0)+IFERROR(INDEX(Jul!AN$6:AN$31,MATCH($A30,Jul!$A$6:$A$31,0)),0)</f>
        <v>0</v>
      </c>
      <c r="P30" s="50" t="str">
        <f t="shared" si="6"/>
        <v/>
      </c>
      <c r="Q30" s="100">
        <f>IFERROR(INDEX(Aug!AO$6:AO$31,MATCH($A30,Aug!$A$6:$A$31,0)),0)+IFERROR(INDEX(Sep!AO$6:AO$31,MATCH($A30,Sep!$A$6:$A$31,0)),0)+IFERROR(INDEX(Oct!AO$6:AO$31,MATCH($A30,Oct!$A$6:$A$31,0)),0)+IFERROR(INDEX(Nov!AO$6:AO$31,MATCH($A30,Nov!$A$6:$A$31,0)),0)+IFERROR(INDEX(Dec!AO$6:AO$31,MATCH($A30,Dec!$A$6:$A$31,0)),0)+IFERROR(INDEX(Jan!AO$6:AO$32,MATCH($A30,Jan!$A$6:$A$32,0)),0)+IFERROR(INDEX(Feb!AO$6:AO$28,MATCH($A30,Feb!$A$6:$A$28,0)),0)+IFERROR(INDEX(Mar!AO$6:AO$31,MATCH($A30,Mar!$A$6:$A$31,0)),0)+IFERROR(INDEX(Apr!AO$6:AO$31,MATCH($A30,Apr!$A$6:$A$31,0)),0)+IFERROR(INDEX(May!AO$6:AO$31,MATCH($A30,May!$A$6:$A$31,0)),0)+IFERROR(INDEX(Jun!AO$6:AO$31,MATCH($A30,Jun!$A$6:$A$31,0)),0)+IFERROR(INDEX(Jul!AO$6:AO$31,MATCH($A30,Jul!$A$6:$A$31,0)),0)</f>
        <v>0</v>
      </c>
      <c r="R30" s="101" t="str">
        <f t="shared" si="7"/>
        <v/>
      </c>
      <c r="S30" s="81">
        <f>C30+E30+G30+I30+K30+M30+O30+Q30</f>
        <v>0</v>
      </c>
    </row>
    <row r="31" spans="1:20" ht="18" customHeight="1" x14ac:dyDescent="0.25">
      <c r="A31" s="42">
        <v>28</v>
      </c>
      <c r="B31" s="76"/>
      <c r="C31" s="80">
        <f>IFERROR(INDEX(Aug!AH$6:AH$31,MATCH($A31,Aug!$A$6:$A$31,0)),0)+IFERROR(INDEX(Sep!AH$6:AH$31,MATCH($A31,Sep!$A$6:$A$31,0)),0)+IFERROR(INDEX(Oct!AH$6:AH$31,MATCH($A31,Oct!$A$6:$A$31,0)),0)+IFERROR(INDEX(Nov!AH$6:AH$31,MATCH($A31,Nov!$A$6:$A$31,0)),0)+IFERROR(INDEX(Dec!AH$6:AH$31,MATCH($A31,Dec!$A$6:$A$31,0)),0)+IFERROR(INDEX(Jan!AH$6:AH$32,MATCH($A31,Jan!$A$6:$A$32,0)),0)+IFERROR(INDEX(Feb!AH$6:AH$28,MATCH($A31,Feb!$A$6:$A$28,0)),0)+IFERROR(INDEX(Mar!AH$6:AH$31,MATCH($A31,Mar!$A$6:$A$31,0)),0)+IFERROR(INDEX(Apr!AH$6:AH$31,MATCH($A31,Apr!$A$6:$A$31,0)),0)+IFERROR(INDEX(May!AH$6:AH$31,MATCH($A31,May!$A$6:$A$31,0)),0)+IFERROR(INDEX(Jun!AH$6:AH$31,MATCH($A31,Jun!$A$6:$A$31,0)),0)+IFERROR(INDEX(Jul!AH$6:AH$31,MATCH($A31,Jul!$A$6:$A$31,0)),0)</f>
        <v>0</v>
      </c>
      <c r="D31" s="50" t="str">
        <f t="shared" si="0"/>
        <v/>
      </c>
      <c r="E31" s="80">
        <f>IFERROR(INDEX(Aug!AI$6:AI$31,MATCH($A31,Aug!$A$6:$A$31,0)),0)+IFERROR(INDEX(Sep!AI$6:AI$31,MATCH($A31,Sep!$A$6:$A$31,0)),0)+IFERROR(INDEX(Oct!AI$6:AI$31,MATCH($A31,Oct!$A$6:$A$31,0)),0)+IFERROR(INDEX(Nov!AI$6:AI$31,MATCH($A31,Nov!$A$6:$A$31,0)),0)+IFERROR(INDEX(Dec!AI$6:AI$31,MATCH($A31,Dec!$A$6:$A$31,0)),0)+IFERROR(INDEX(Jan!AI$6:AI$32,MATCH($A31,Jan!$A$6:$A$32,0)),0)+IFERROR(INDEX(Feb!AI$6:AI$28,MATCH($A31,Feb!$A$6:$A$28,0)),0)+IFERROR(INDEX(Mar!AI$6:AI$31,MATCH($A31,Mar!$A$6:$A$31,0)),0)+IFERROR(INDEX(Apr!AI$6:AI$31,MATCH($A31,Apr!$A$6:$A$31,0)),0)+IFERROR(INDEX(May!AI$6:AI$31,MATCH($A31,May!$A$6:$A$31,0)),0)+IFERROR(INDEX(Jun!AI$6:AI$31,MATCH($A31,Jun!$A$6:$A$31,0)),0)+IFERROR(INDEX(Jul!AI$6:AI$31,MATCH($A31,Jul!$A$6:$A$31,0)),0)</f>
        <v>0</v>
      </c>
      <c r="F31" s="89" t="str">
        <f t="shared" si="1"/>
        <v/>
      </c>
      <c r="G31" s="80">
        <f>IFERROR(INDEX(Aug!AJ$6:AJ$31,MATCH($A31,Aug!$A$6:$A$31,0)),0)+IFERROR(INDEX(Sep!AJ$6:AJ$31,MATCH($A31,Sep!$A$6:$A$31,0)),0)+IFERROR(INDEX(Oct!AJ$6:AJ$31,MATCH($A31,Oct!$A$6:$A$31,0)),0)+IFERROR(INDEX(Nov!AJ$6:AJ$31,MATCH($A31,Nov!$A$6:$A$31,0)),0)+IFERROR(INDEX(Dec!AJ$6:AJ$31,MATCH($A31,Dec!$A$6:$A$31,0)),0)+IFERROR(INDEX(Jan!AJ$6:AJ$32,MATCH($A31,Jan!$A$6:$A$32,0)),0)+IFERROR(INDEX(Feb!AJ$6:AJ$28,MATCH($A31,Feb!$A$6:$A$28,0)),0)+IFERROR(INDEX(Mar!AJ$6:AJ$31,MATCH($A31,Mar!$A$6:$A$31,0)),0)+IFERROR(INDEX(Apr!AJ$6:AJ$31,MATCH($A31,Apr!$A$6:$A$31,0)),0)+IFERROR(INDEX(May!AJ$6:AJ$31,MATCH($A31,May!$A$6:$A$31,0)),0)+IFERROR(INDEX(Jun!AJ$6:AJ$31,MATCH($A31,Jun!$A$6:$A$31,0)),0)+IFERROR(INDEX(Jul!AJ$6:AJ$31,MATCH($A31,Jul!$A$6:$A$31,0)),0)</f>
        <v>0</v>
      </c>
      <c r="H31" s="89" t="str">
        <f t="shared" si="2"/>
        <v/>
      </c>
      <c r="I31" s="80">
        <f>IFERROR(INDEX(Aug!AK$6:AK$31,MATCH($A31,Aug!$A$6:$A$31,0)),0)+IFERROR(INDEX(Sep!AK$6:AK$31,MATCH($A31,Sep!$A$6:$A$31,0)),0)+IFERROR(INDEX(Oct!AK$6:AK$31,MATCH($A31,Oct!$A$6:$A$31,0)),0)+IFERROR(INDEX(Nov!AK$6:AK$31,MATCH($A31,Nov!$A$6:$A$31,0)),0)+IFERROR(INDEX(Dec!AK$6:AK$31,MATCH($A31,Dec!$A$6:$A$31,0)),0)+IFERROR(INDEX(Jan!AK$6:AK$32,MATCH($A31,Jan!$A$6:$A$32,0)),0)+IFERROR(INDEX(Feb!AK$6:AK$28,MATCH($A31,Feb!$A$6:$A$28,0)),0)+IFERROR(INDEX(Mar!AK$6:AK$31,MATCH($A31,Mar!$A$6:$A$31,0)),0)+IFERROR(INDEX(Apr!AK$6:AK$31,MATCH($A31,Apr!$A$6:$A$31,0)),0)+IFERROR(INDEX(May!AK$6:AK$31,MATCH($A31,May!$A$6:$A$31,0)),0)+IFERROR(INDEX(Jun!AK$6:AK$31,MATCH($A31,Jun!$A$6:$A$31,0)),0)+IFERROR(INDEX(Jul!AK$6:AK$31,MATCH($A31,Jul!$A$6:$A$31,0)),0)</f>
        <v>0</v>
      </c>
      <c r="J31" s="89" t="str">
        <f t="shared" si="3"/>
        <v/>
      </c>
      <c r="K31" s="80">
        <f>IFERROR(INDEX(Aug!AL$6:AL$31,MATCH($A31,Aug!$A$6:$A$31,0)),0)+IFERROR(INDEX(Sep!AL$6:AL$31,MATCH($A31,Sep!$A$6:$A$31,0)),0)+IFERROR(INDEX(Oct!AL$6:AL$31,MATCH($A31,Oct!$A$6:$A$31,0)),0)+IFERROR(INDEX(Nov!AL$6:AL$31,MATCH($A31,Nov!$A$6:$A$31,0)),0)+IFERROR(INDEX(Dec!AL$6:AL$31,MATCH($A31,Dec!$A$6:$A$31,0)),0)+IFERROR(INDEX(Jan!AL$6:AL$32,MATCH($A31,Jan!$A$6:$A$32,0)),0)+IFERROR(INDEX(Feb!AL$6:AL$28,MATCH($A31,Feb!$A$6:$A$28,0)),0)+IFERROR(INDEX(Mar!AL$6:AL$31,MATCH($A31,Mar!$A$6:$A$31,0)),0)+IFERROR(INDEX(Apr!AL$6:AL$31,MATCH($A31,Apr!$A$6:$A$31,0)),0)+IFERROR(INDEX(May!AL$6:AL$31,MATCH($A31,May!$A$6:$A$31,0)),0)+IFERROR(INDEX(Jun!AL$6:AL$31,MATCH($A31,Jun!$A$6:$A$31,0)),0)+IFERROR(INDEX(Jul!AL$6:AL$31,MATCH($A31,Jul!$A$6:$A$31,0)),0)</f>
        <v>0</v>
      </c>
      <c r="L31" s="89" t="str">
        <f t="shared" si="4"/>
        <v/>
      </c>
      <c r="M31" s="80">
        <f>IFERROR(INDEX(Aug!AM$6:AM$31,MATCH($A31,Aug!$A$6:$A$31,0)),0)+IFERROR(INDEX(Sep!AM$6:AM$31,MATCH($A31,Sep!$A$6:$A$31,0)),0)+IFERROR(INDEX(Oct!AM$6:AM$31,MATCH($A31,Oct!$A$6:$A$31,0)),0)+IFERROR(INDEX(Nov!AM$6:AM$31,MATCH($A31,Nov!$A$6:$A$31,0)),0)+IFERROR(INDEX(Dec!AM$6:AM$31,MATCH($A31,Dec!$A$6:$A$31,0)),0)+IFERROR(INDEX(Jan!AM$6:AM$32,MATCH($A31,Jan!$A$6:$A$32,0)),0)+IFERROR(INDEX(Feb!AM$6:AM$28,MATCH($A31,Feb!$A$6:$A$28,0)),0)+IFERROR(INDEX(Mar!AM$6:AM$31,MATCH($A31,Mar!$A$6:$A$31,0)),0)+IFERROR(INDEX(Apr!AM$6:AM$31,MATCH($A31,Apr!$A$6:$A$31,0)),0)+IFERROR(INDEX(May!AM$6:AM$31,MATCH($A31,May!$A$6:$A$31,0)),0)+IFERROR(INDEX(Jun!AM$6:AM$31,MATCH($A31,Jun!$A$6:$A$31,0)),0)+IFERROR(INDEX(Jul!AM$6:AM$31,MATCH($A31,Jul!$A$6:$A$31,0)),0)</f>
        <v>0</v>
      </c>
      <c r="N31" s="89" t="str">
        <f t="shared" si="5"/>
        <v/>
      </c>
      <c r="O31" s="80">
        <f>IFERROR(INDEX(Aug!AN$6:AN$31,MATCH($A31,Aug!$A$6:$A$31,0)),0)+IFERROR(INDEX(Sep!AN$6:AN$31,MATCH($A31,Sep!$A$6:$A$31,0)),0)+IFERROR(INDEX(Oct!AN$6:AN$31,MATCH($A31,Oct!$A$6:$A$31,0)),0)+IFERROR(INDEX(Nov!AN$6:AN$31,MATCH($A31,Nov!$A$6:$A$31,0)),0)+IFERROR(INDEX(Dec!AN$6:AN$31,MATCH($A31,Dec!$A$6:$A$31,0)),0)+IFERROR(INDEX(Jan!AN$6:AN$32,MATCH($A31,Jan!$A$6:$A$32,0)),0)+IFERROR(INDEX(Feb!AN$6:AN$28,MATCH($A31,Feb!$A$6:$A$28,0)),0)+IFERROR(INDEX(Mar!AN$6:AN$31,MATCH($A31,Mar!$A$6:$A$31,0)),0)+IFERROR(INDEX(Apr!AN$6:AN$31,MATCH($A31,Apr!$A$6:$A$31,0)),0)+IFERROR(INDEX(May!AN$6:AN$31,MATCH($A31,May!$A$6:$A$31,0)),0)+IFERROR(INDEX(Jun!AN$6:AN$31,MATCH($A31,Jun!$A$6:$A$31,0)),0)+IFERROR(INDEX(Jul!AN$6:AN$31,MATCH($A31,Jul!$A$6:$A$31,0)),0)</f>
        <v>0</v>
      </c>
      <c r="P31" s="50" t="str">
        <f t="shared" si="6"/>
        <v/>
      </c>
      <c r="Q31" s="100">
        <f>IFERROR(INDEX(Aug!AO$6:AO$31,MATCH($A31,Aug!$A$6:$A$31,0)),0)+IFERROR(INDEX(Sep!AO$6:AO$31,MATCH($A31,Sep!$A$6:$A$31,0)),0)+IFERROR(INDEX(Oct!AO$6:AO$31,MATCH($A31,Oct!$A$6:$A$31,0)),0)+IFERROR(INDEX(Nov!AO$6:AO$31,MATCH($A31,Nov!$A$6:$A$31,0)),0)+IFERROR(INDEX(Dec!AO$6:AO$31,MATCH($A31,Dec!$A$6:$A$31,0)),0)+IFERROR(INDEX(Jan!AO$6:AO$32,MATCH($A31,Jan!$A$6:$A$32,0)),0)+IFERROR(INDEX(Feb!AO$6:AO$28,MATCH($A31,Feb!$A$6:$A$28,0)),0)+IFERROR(INDEX(Mar!AO$6:AO$31,MATCH($A31,Mar!$A$6:$A$31,0)),0)+IFERROR(INDEX(Apr!AO$6:AO$31,MATCH($A31,Apr!$A$6:$A$31,0)),0)+IFERROR(INDEX(May!AO$6:AO$31,MATCH($A31,May!$A$6:$A$31,0)),0)+IFERROR(INDEX(Jun!AO$6:AO$31,MATCH($A31,Jun!$A$6:$A$31,0)),0)+IFERROR(INDEX(Jul!AO$6:AO$31,MATCH($A31,Jul!$A$6:$A$31,0)),0)</f>
        <v>0</v>
      </c>
      <c r="R31" s="101" t="str">
        <f t="shared" si="7"/>
        <v/>
      </c>
      <c r="S31" s="81">
        <f>C31+E31+G31+I31+K31+M31+O31+Q31</f>
        <v>0</v>
      </c>
    </row>
    <row r="32" spans="1:20" ht="18" customHeight="1" x14ac:dyDescent="0.25">
      <c r="A32" s="42">
        <v>29</v>
      </c>
      <c r="B32" s="76"/>
      <c r="C32" s="80">
        <f>IFERROR(INDEX(Aug!AH$6:AH$31,MATCH($A32,Aug!$A$6:$A$31,0)),0)+IFERROR(INDEX(Sep!AH$6:AH$31,MATCH($A32,Sep!$A$6:$A$31,0)),0)+IFERROR(INDEX(Oct!AH$6:AH$31,MATCH($A32,Oct!$A$6:$A$31,0)),0)+IFERROR(INDEX(Nov!AH$6:AH$31,MATCH($A32,Nov!$A$6:$A$31,0)),0)+IFERROR(INDEX(Dec!AH$6:AH$31,MATCH($A32,Dec!$A$6:$A$31,0)),0)+IFERROR(INDEX(Jan!AH$6:AH$32,MATCH($A32,Jan!$A$6:$A$32,0)),0)+IFERROR(INDEX(Feb!AH$6:AH$28,MATCH($A32,Feb!$A$6:$A$28,0)),0)+IFERROR(INDEX(Mar!AH$6:AH$31,MATCH($A32,Mar!$A$6:$A$31,0)),0)+IFERROR(INDEX(Apr!AH$6:AH$31,MATCH($A32,Apr!$A$6:$A$31,0)),0)+IFERROR(INDEX(May!AH$6:AH$31,MATCH($A32,May!$A$6:$A$31,0)),0)+IFERROR(INDEX(Jun!AH$6:AH$31,MATCH($A32,Jun!$A$6:$A$31,0)),0)+IFERROR(INDEX(Jul!AH$6:AH$31,MATCH($A32,Jul!$A$6:$A$31,0)),0)</f>
        <v>0</v>
      </c>
      <c r="D32" s="50" t="str">
        <f t="shared" si="0"/>
        <v/>
      </c>
      <c r="E32" s="80">
        <f>IFERROR(INDEX(Aug!AI$6:AI$31,MATCH($A32,Aug!$A$6:$A$31,0)),0)+IFERROR(INDEX(Sep!AI$6:AI$31,MATCH($A32,Sep!$A$6:$A$31,0)),0)+IFERROR(INDEX(Oct!AI$6:AI$31,MATCH($A32,Oct!$A$6:$A$31,0)),0)+IFERROR(INDEX(Nov!AI$6:AI$31,MATCH($A32,Nov!$A$6:$A$31,0)),0)+IFERROR(INDEX(Dec!AI$6:AI$31,MATCH($A32,Dec!$A$6:$A$31,0)),0)+IFERROR(INDEX(Jan!AI$6:AI$32,MATCH($A32,Jan!$A$6:$A$32,0)),0)+IFERROR(INDEX(Feb!AI$6:AI$28,MATCH($A32,Feb!$A$6:$A$28,0)),0)+IFERROR(INDEX(Mar!AI$6:AI$31,MATCH($A32,Mar!$A$6:$A$31,0)),0)+IFERROR(INDEX(Apr!AI$6:AI$31,MATCH($A32,Apr!$A$6:$A$31,0)),0)+IFERROR(INDEX(May!AI$6:AI$31,MATCH($A32,May!$A$6:$A$31,0)),0)+IFERROR(INDEX(Jun!AI$6:AI$31,MATCH($A32,Jun!$A$6:$A$31,0)),0)+IFERROR(INDEX(Jul!AI$6:AI$31,MATCH($A32,Jul!$A$6:$A$31,0)),0)</f>
        <v>0</v>
      </c>
      <c r="F32" s="89" t="str">
        <f t="shared" si="1"/>
        <v/>
      </c>
      <c r="G32" s="80">
        <f>IFERROR(INDEX(Aug!AJ$6:AJ$31,MATCH($A32,Aug!$A$6:$A$31,0)),0)+IFERROR(INDEX(Sep!AJ$6:AJ$31,MATCH($A32,Sep!$A$6:$A$31,0)),0)+IFERROR(INDEX(Oct!AJ$6:AJ$31,MATCH($A32,Oct!$A$6:$A$31,0)),0)+IFERROR(INDEX(Nov!AJ$6:AJ$31,MATCH($A32,Nov!$A$6:$A$31,0)),0)+IFERROR(INDEX(Dec!AJ$6:AJ$31,MATCH($A32,Dec!$A$6:$A$31,0)),0)+IFERROR(INDEX(Jan!AJ$6:AJ$32,MATCH($A32,Jan!$A$6:$A$32,0)),0)+IFERROR(INDEX(Feb!AJ$6:AJ$28,MATCH($A32,Feb!$A$6:$A$28,0)),0)+IFERROR(INDEX(Mar!AJ$6:AJ$31,MATCH($A32,Mar!$A$6:$A$31,0)),0)+IFERROR(INDEX(Apr!AJ$6:AJ$31,MATCH($A32,Apr!$A$6:$A$31,0)),0)+IFERROR(INDEX(May!AJ$6:AJ$31,MATCH($A32,May!$A$6:$A$31,0)),0)+IFERROR(INDEX(Jun!AJ$6:AJ$31,MATCH($A32,Jun!$A$6:$A$31,0)),0)+IFERROR(INDEX(Jul!AJ$6:AJ$31,MATCH($A32,Jul!$A$6:$A$31,0)),0)</f>
        <v>0</v>
      </c>
      <c r="H32" s="89" t="str">
        <f t="shared" si="2"/>
        <v/>
      </c>
      <c r="I32" s="80">
        <f>IFERROR(INDEX(Aug!AK$6:AK$31,MATCH($A32,Aug!$A$6:$A$31,0)),0)+IFERROR(INDEX(Sep!AK$6:AK$31,MATCH($A32,Sep!$A$6:$A$31,0)),0)+IFERROR(INDEX(Oct!AK$6:AK$31,MATCH($A32,Oct!$A$6:$A$31,0)),0)+IFERROR(INDEX(Nov!AK$6:AK$31,MATCH($A32,Nov!$A$6:$A$31,0)),0)+IFERROR(INDEX(Dec!AK$6:AK$31,MATCH($A32,Dec!$A$6:$A$31,0)),0)+IFERROR(INDEX(Jan!AK$6:AK$32,MATCH($A32,Jan!$A$6:$A$32,0)),0)+IFERROR(INDEX(Feb!AK$6:AK$28,MATCH($A32,Feb!$A$6:$A$28,0)),0)+IFERROR(INDEX(Mar!AK$6:AK$31,MATCH($A32,Mar!$A$6:$A$31,0)),0)+IFERROR(INDEX(Apr!AK$6:AK$31,MATCH($A32,Apr!$A$6:$A$31,0)),0)+IFERROR(INDEX(May!AK$6:AK$31,MATCH($A32,May!$A$6:$A$31,0)),0)+IFERROR(INDEX(Jun!AK$6:AK$31,MATCH($A32,Jun!$A$6:$A$31,0)),0)+IFERROR(INDEX(Jul!AK$6:AK$31,MATCH($A32,Jul!$A$6:$A$31,0)),0)</f>
        <v>0</v>
      </c>
      <c r="J32" s="89" t="str">
        <f t="shared" si="3"/>
        <v/>
      </c>
      <c r="K32" s="80">
        <f>IFERROR(INDEX(Aug!AL$6:AL$31,MATCH($A32,Aug!$A$6:$A$31,0)),0)+IFERROR(INDEX(Sep!AL$6:AL$31,MATCH($A32,Sep!$A$6:$A$31,0)),0)+IFERROR(INDEX(Oct!AL$6:AL$31,MATCH($A32,Oct!$A$6:$A$31,0)),0)+IFERROR(INDEX(Nov!AL$6:AL$31,MATCH($A32,Nov!$A$6:$A$31,0)),0)+IFERROR(INDEX(Dec!AL$6:AL$31,MATCH($A32,Dec!$A$6:$A$31,0)),0)+IFERROR(INDEX(Jan!AL$6:AL$32,MATCH($A32,Jan!$A$6:$A$32,0)),0)+IFERROR(INDEX(Feb!AL$6:AL$28,MATCH($A32,Feb!$A$6:$A$28,0)),0)+IFERROR(INDEX(Mar!AL$6:AL$31,MATCH($A32,Mar!$A$6:$A$31,0)),0)+IFERROR(INDEX(Apr!AL$6:AL$31,MATCH($A32,Apr!$A$6:$A$31,0)),0)+IFERROR(INDEX(May!AL$6:AL$31,MATCH($A32,May!$A$6:$A$31,0)),0)+IFERROR(INDEX(Jun!AL$6:AL$31,MATCH($A32,Jun!$A$6:$A$31,0)),0)+IFERROR(INDEX(Jul!AL$6:AL$31,MATCH($A32,Jul!$A$6:$A$31,0)),0)</f>
        <v>0</v>
      </c>
      <c r="L32" s="89" t="str">
        <f t="shared" si="4"/>
        <v/>
      </c>
      <c r="M32" s="80">
        <f>IFERROR(INDEX(Aug!AM$6:AM$31,MATCH($A32,Aug!$A$6:$A$31,0)),0)+IFERROR(INDEX(Sep!AM$6:AM$31,MATCH($A32,Sep!$A$6:$A$31,0)),0)+IFERROR(INDEX(Oct!AM$6:AM$31,MATCH($A32,Oct!$A$6:$A$31,0)),0)+IFERROR(INDEX(Nov!AM$6:AM$31,MATCH($A32,Nov!$A$6:$A$31,0)),0)+IFERROR(INDEX(Dec!AM$6:AM$31,MATCH($A32,Dec!$A$6:$A$31,0)),0)+IFERROR(INDEX(Jan!AM$6:AM$32,MATCH($A32,Jan!$A$6:$A$32,0)),0)+IFERROR(INDEX(Feb!AM$6:AM$28,MATCH($A32,Feb!$A$6:$A$28,0)),0)+IFERROR(INDEX(Mar!AM$6:AM$31,MATCH($A32,Mar!$A$6:$A$31,0)),0)+IFERROR(INDEX(Apr!AM$6:AM$31,MATCH($A32,Apr!$A$6:$A$31,0)),0)+IFERROR(INDEX(May!AM$6:AM$31,MATCH($A32,May!$A$6:$A$31,0)),0)+IFERROR(INDEX(Jun!AM$6:AM$31,MATCH($A32,Jun!$A$6:$A$31,0)),0)+IFERROR(INDEX(Jul!AM$6:AM$31,MATCH($A32,Jul!$A$6:$A$31,0)),0)</f>
        <v>0</v>
      </c>
      <c r="N32" s="89" t="str">
        <f t="shared" si="5"/>
        <v/>
      </c>
      <c r="O32" s="80">
        <f>IFERROR(INDEX(Aug!AN$6:AN$31,MATCH($A32,Aug!$A$6:$A$31,0)),0)+IFERROR(INDEX(Sep!AN$6:AN$31,MATCH($A32,Sep!$A$6:$A$31,0)),0)+IFERROR(INDEX(Oct!AN$6:AN$31,MATCH($A32,Oct!$A$6:$A$31,0)),0)+IFERROR(INDEX(Nov!AN$6:AN$31,MATCH($A32,Nov!$A$6:$A$31,0)),0)+IFERROR(INDEX(Dec!AN$6:AN$31,MATCH($A32,Dec!$A$6:$A$31,0)),0)+IFERROR(INDEX(Jan!AN$6:AN$32,MATCH($A32,Jan!$A$6:$A$32,0)),0)+IFERROR(INDEX(Feb!AN$6:AN$28,MATCH($A32,Feb!$A$6:$A$28,0)),0)+IFERROR(INDEX(Mar!AN$6:AN$31,MATCH($A32,Mar!$A$6:$A$31,0)),0)+IFERROR(INDEX(Apr!AN$6:AN$31,MATCH($A32,Apr!$A$6:$A$31,0)),0)+IFERROR(INDEX(May!AN$6:AN$31,MATCH($A32,May!$A$6:$A$31,0)),0)+IFERROR(INDEX(Jun!AN$6:AN$31,MATCH($A32,Jun!$A$6:$A$31,0)),0)+IFERROR(INDEX(Jul!AN$6:AN$31,MATCH($A32,Jul!$A$6:$A$31,0)),0)</f>
        <v>0</v>
      </c>
      <c r="P32" s="50" t="str">
        <f t="shared" si="6"/>
        <v/>
      </c>
      <c r="Q32" s="100">
        <f>IFERROR(INDEX(Aug!AO$6:AO$31,MATCH($A32,Aug!$A$6:$A$31,0)),0)+IFERROR(INDEX(Sep!AO$6:AO$31,MATCH($A32,Sep!$A$6:$A$31,0)),0)+IFERROR(INDEX(Oct!AO$6:AO$31,MATCH($A32,Oct!$A$6:$A$31,0)),0)+IFERROR(INDEX(Nov!AO$6:AO$31,MATCH($A32,Nov!$A$6:$A$31,0)),0)+IFERROR(INDEX(Dec!AO$6:AO$31,MATCH($A32,Dec!$A$6:$A$31,0)),0)+IFERROR(INDEX(Jan!AO$6:AO$32,MATCH($A32,Jan!$A$6:$A$32,0)),0)+IFERROR(INDEX(Feb!AO$6:AO$28,MATCH($A32,Feb!$A$6:$A$28,0)),0)+IFERROR(INDEX(Mar!AO$6:AO$31,MATCH($A32,Mar!$A$6:$A$31,0)),0)+IFERROR(INDEX(Apr!AO$6:AO$31,MATCH($A32,Apr!$A$6:$A$31,0)),0)+IFERROR(INDEX(May!AO$6:AO$31,MATCH($A32,May!$A$6:$A$31,0)),0)+IFERROR(INDEX(Jun!AO$6:AO$31,MATCH($A32,Jun!$A$6:$A$31,0)),0)+IFERROR(INDEX(Jul!AO$6:AO$31,MATCH($A32,Jul!$A$6:$A$31,0)),0)</f>
        <v>0</v>
      </c>
      <c r="R32" s="101" t="str">
        <f t="shared" si="7"/>
        <v/>
      </c>
      <c r="S32" s="81">
        <f>C32+E32+G32+I32+K32+M32+O32+Q32</f>
        <v>0</v>
      </c>
      <c r="T32" s="18"/>
    </row>
    <row r="33" spans="1:20" ht="18" customHeight="1" thickBot="1" x14ac:dyDescent="0.3">
      <c r="A33" s="42">
        <v>30</v>
      </c>
      <c r="B33" s="76"/>
      <c r="C33" s="82">
        <f>IFERROR(INDEX(Aug!AH$6:AH$31,MATCH($A33,Aug!$A$6:$A$31,0)),0)+IFERROR(INDEX(Sep!AH$6:AH$31,MATCH($A33,Sep!$A$6:$A$31,0)),0)+IFERROR(INDEX(Oct!AH$6:AH$31,MATCH($A33,Oct!$A$6:$A$31,0)),0)+IFERROR(INDEX(Nov!AH$6:AH$31,MATCH($A33,Nov!$A$6:$A$31,0)),0)+IFERROR(INDEX(Dec!AH$6:AH$31,MATCH($A33,Dec!$A$6:$A$31,0)),0)+IFERROR(INDEX(Jan!AH$6:AH$32,MATCH($A33,Jan!$A$6:$A$32,0)),0)+IFERROR(INDEX(Feb!AH$6:AH$28,MATCH($A33,Feb!$A$6:$A$28,0)),0)+IFERROR(INDEX(Mar!AH$6:AH$31,MATCH($A33,Mar!$A$6:$A$31,0)),0)+IFERROR(INDEX(Apr!AH$6:AH$31,MATCH($A33,Apr!$A$6:$A$31,0)),0)+IFERROR(INDEX(May!AH$6:AH$31,MATCH($A33,May!$A$6:$A$31,0)),0)+IFERROR(INDEX(Jun!AH$6:AH$31,MATCH($A33,Jun!$A$6:$A$31,0)),0)+IFERROR(INDEX(Jul!AH$6:AH$31,MATCH($A33,Jul!$A$6:$A$31,0)),0)</f>
        <v>0</v>
      </c>
      <c r="D33" s="83" t="str">
        <f t="shared" si="0"/>
        <v/>
      </c>
      <c r="E33" s="82">
        <f>IFERROR(INDEX(Aug!AI$6:AI$31,MATCH($A33,Aug!$A$6:$A$31,0)),0)+IFERROR(INDEX(Sep!AI$6:AI$31,MATCH($A33,Sep!$A$6:$A$31,0)),0)+IFERROR(INDEX(Oct!AI$6:AI$31,MATCH($A33,Oct!$A$6:$A$31,0)),0)+IFERROR(INDEX(Nov!AI$6:AI$31,MATCH($A33,Nov!$A$6:$A$31,0)),0)+IFERROR(INDEX(Dec!AI$6:AI$31,MATCH($A33,Dec!$A$6:$A$31,0)),0)+IFERROR(INDEX(Jan!AI$6:AI$32,MATCH($A33,Jan!$A$6:$A$32,0)),0)+IFERROR(INDEX(Feb!AI$6:AI$28,MATCH($A33,Feb!$A$6:$A$28,0)),0)+IFERROR(INDEX(Mar!AI$6:AI$31,MATCH($A33,Mar!$A$6:$A$31,0)),0)+IFERROR(INDEX(Apr!AI$6:AI$31,MATCH($A33,Apr!$A$6:$A$31,0)),0)+IFERROR(INDEX(May!AI$6:AI$31,MATCH($A33,May!$A$6:$A$31,0)),0)+IFERROR(INDEX(Jun!AI$6:AI$31,MATCH($A33,Jun!$A$6:$A$31,0)),0)+IFERROR(INDEX(Jul!AI$6:AI$31,MATCH($A33,Jul!$A$6:$A$31,0)),0)</f>
        <v>0</v>
      </c>
      <c r="F33" s="90" t="str">
        <f t="shared" si="1"/>
        <v/>
      </c>
      <c r="G33" s="82">
        <f>IFERROR(INDEX(Aug!AJ$6:AJ$31,MATCH($A33,Aug!$A$6:$A$31,0)),0)+IFERROR(INDEX(Sep!AJ$6:AJ$31,MATCH($A33,Sep!$A$6:$A$31,0)),0)+IFERROR(INDEX(Oct!AJ$6:AJ$31,MATCH($A33,Oct!$A$6:$A$31,0)),0)+IFERROR(INDEX(Nov!AJ$6:AJ$31,MATCH($A33,Nov!$A$6:$A$31,0)),0)+IFERROR(INDEX(Dec!AJ$6:AJ$31,MATCH($A33,Dec!$A$6:$A$31,0)),0)+IFERROR(INDEX(Jan!AJ$6:AJ$32,MATCH($A33,Jan!$A$6:$A$32,0)),0)+IFERROR(INDEX(Feb!AJ$6:AJ$28,MATCH($A33,Feb!$A$6:$A$28,0)),0)+IFERROR(INDEX(Mar!AJ$6:AJ$31,MATCH($A33,Mar!$A$6:$A$31,0)),0)+IFERROR(INDEX(Apr!AJ$6:AJ$31,MATCH($A33,Apr!$A$6:$A$31,0)),0)+IFERROR(INDEX(May!AJ$6:AJ$31,MATCH($A33,May!$A$6:$A$31,0)),0)+IFERROR(INDEX(Jun!AJ$6:AJ$31,MATCH($A33,Jun!$A$6:$A$31,0)),0)+IFERROR(INDEX(Jul!AJ$6:AJ$31,MATCH($A33,Jul!$A$6:$A$31,0)),0)</f>
        <v>0</v>
      </c>
      <c r="H33" s="90" t="str">
        <f t="shared" si="2"/>
        <v/>
      </c>
      <c r="I33" s="82">
        <f>IFERROR(INDEX(Aug!AK$6:AK$31,MATCH($A33,Aug!$A$6:$A$31,0)),0)+IFERROR(INDEX(Sep!AK$6:AK$31,MATCH($A33,Sep!$A$6:$A$31,0)),0)+IFERROR(INDEX(Oct!AK$6:AK$31,MATCH($A33,Oct!$A$6:$A$31,0)),0)+IFERROR(INDEX(Nov!AK$6:AK$31,MATCH($A33,Nov!$A$6:$A$31,0)),0)+IFERROR(INDEX(Dec!AK$6:AK$31,MATCH($A33,Dec!$A$6:$A$31,0)),0)+IFERROR(INDEX(Jan!AK$6:AK$32,MATCH($A33,Jan!$A$6:$A$32,0)),0)+IFERROR(INDEX(Feb!AK$6:AK$28,MATCH($A33,Feb!$A$6:$A$28,0)),0)+IFERROR(INDEX(Mar!AK$6:AK$31,MATCH($A33,Mar!$A$6:$A$31,0)),0)+IFERROR(INDEX(Apr!AK$6:AK$31,MATCH($A33,Apr!$A$6:$A$31,0)),0)+IFERROR(INDEX(May!AK$6:AK$31,MATCH($A33,May!$A$6:$A$31,0)),0)+IFERROR(INDEX(Jun!AK$6:AK$31,MATCH($A33,Jun!$A$6:$A$31,0)),0)+IFERROR(INDEX(Jul!AK$6:AK$31,MATCH($A33,Jul!$A$6:$A$31,0)),0)</f>
        <v>0</v>
      </c>
      <c r="J33" s="90" t="str">
        <f t="shared" si="3"/>
        <v/>
      </c>
      <c r="K33" s="82">
        <f>IFERROR(INDEX(Aug!AL$6:AL$31,MATCH($A33,Aug!$A$6:$A$31,0)),0)+IFERROR(INDEX(Sep!AL$6:AL$31,MATCH($A33,Sep!$A$6:$A$31,0)),0)+IFERROR(INDEX(Oct!AL$6:AL$31,MATCH($A33,Oct!$A$6:$A$31,0)),0)+IFERROR(INDEX(Nov!AL$6:AL$31,MATCH($A33,Nov!$A$6:$A$31,0)),0)+IFERROR(INDEX(Dec!AL$6:AL$31,MATCH($A33,Dec!$A$6:$A$31,0)),0)+IFERROR(INDEX(Jan!AL$6:AL$32,MATCH($A33,Jan!$A$6:$A$32,0)),0)+IFERROR(INDEX(Feb!AL$6:AL$28,MATCH($A33,Feb!$A$6:$A$28,0)),0)+IFERROR(INDEX(Mar!AL$6:AL$31,MATCH($A33,Mar!$A$6:$A$31,0)),0)+IFERROR(INDEX(Apr!AL$6:AL$31,MATCH($A33,Apr!$A$6:$A$31,0)),0)+IFERROR(INDEX(May!AL$6:AL$31,MATCH($A33,May!$A$6:$A$31,0)),0)+IFERROR(INDEX(Jun!AL$6:AL$31,MATCH($A33,Jun!$A$6:$A$31,0)),0)+IFERROR(INDEX(Jul!AL$6:AL$31,MATCH($A33,Jul!$A$6:$A$31,0)),0)</f>
        <v>0</v>
      </c>
      <c r="L33" s="90" t="str">
        <f t="shared" si="4"/>
        <v/>
      </c>
      <c r="M33" s="82">
        <f>IFERROR(INDEX(Aug!AM$6:AM$31,MATCH($A33,Aug!$A$6:$A$31,0)),0)+IFERROR(INDEX(Sep!AM$6:AM$31,MATCH($A33,Sep!$A$6:$A$31,0)),0)+IFERROR(INDEX(Oct!AM$6:AM$31,MATCH($A33,Oct!$A$6:$A$31,0)),0)+IFERROR(INDEX(Nov!AM$6:AM$31,MATCH($A33,Nov!$A$6:$A$31,0)),0)+IFERROR(INDEX(Dec!AM$6:AM$31,MATCH($A33,Dec!$A$6:$A$31,0)),0)+IFERROR(INDEX(Jan!AM$6:AM$32,MATCH($A33,Jan!$A$6:$A$32,0)),0)+IFERROR(INDEX(Feb!AM$6:AM$28,MATCH($A33,Feb!$A$6:$A$28,0)),0)+IFERROR(INDEX(Mar!AM$6:AM$31,MATCH($A33,Mar!$A$6:$A$31,0)),0)+IFERROR(INDEX(Apr!AM$6:AM$31,MATCH($A33,Apr!$A$6:$A$31,0)),0)+IFERROR(INDEX(May!AM$6:AM$31,MATCH($A33,May!$A$6:$A$31,0)),0)+IFERROR(INDEX(Jun!AM$6:AM$31,MATCH($A33,Jun!$A$6:$A$31,0)),0)+IFERROR(INDEX(Jul!AM$6:AM$31,MATCH($A33,Jul!$A$6:$A$31,0)),0)</f>
        <v>0</v>
      </c>
      <c r="N33" s="90" t="str">
        <f t="shared" si="5"/>
        <v/>
      </c>
      <c r="O33" s="82">
        <f>IFERROR(INDEX(Aug!AN$6:AN$31,MATCH($A33,Aug!$A$6:$A$31,0)),0)+IFERROR(INDEX(Sep!AN$6:AN$31,MATCH($A33,Sep!$A$6:$A$31,0)),0)+IFERROR(INDEX(Oct!AN$6:AN$31,MATCH($A33,Oct!$A$6:$A$31,0)),0)+IFERROR(INDEX(Nov!AN$6:AN$31,MATCH($A33,Nov!$A$6:$A$31,0)),0)+IFERROR(INDEX(Dec!AN$6:AN$31,MATCH($A33,Dec!$A$6:$A$31,0)),0)+IFERROR(INDEX(Jan!AN$6:AN$32,MATCH($A33,Jan!$A$6:$A$32,0)),0)+IFERROR(INDEX(Feb!AN$6:AN$28,MATCH($A33,Feb!$A$6:$A$28,0)),0)+IFERROR(INDEX(Mar!AN$6:AN$31,MATCH($A33,Mar!$A$6:$A$31,0)),0)+IFERROR(INDEX(Apr!AN$6:AN$31,MATCH($A33,Apr!$A$6:$A$31,0)),0)+IFERROR(INDEX(May!AN$6:AN$31,MATCH($A33,May!$A$6:$A$31,0)),0)+IFERROR(INDEX(Jun!AN$6:AN$31,MATCH($A33,Jun!$A$6:$A$31,0)),0)+IFERROR(INDEX(Jul!AN$6:AN$31,MATCH($A33,Jul!$A$6:$A$31,0)),0)</f>
        <v>0</v>
      </c>
      <c r="P33" s="83" t="str">
        <f t="shared" si="6"/>
        <v/>
      </c>
      <c r="Q33" s="102">
        <f>IFERROR(INDEX(Aug!AO$6:AO$31,MATCH($A33,Aug!$A$6:$A$31,0)),0)+IFERROR(INDEX(Sep!AO$6:AO$31,MATCH($A33,Sep!$A$6:$A$31,0)),0)+IFERROR(INDEX(Oct!AO$6:AO$31,MATCH($A33,Oct!$A$6:$A$31,0)),0)+IFERROR(INDEX(Nov!AO$6:AO$31,MATCH($A33,Nov!$A$6:$A$31,0)),0)+IFERROR(INDEX(Dec!AO$6:AO$31,MATCH($A33,Dec!$A$6:$A$31,0)),0)+IFERROR(INDEX(Jan!AO$6:AO$32,MATCH($A33,Jan!$A$6:$A$32,0)),0)+IFERROR(INDEX(Feb!AO$6:AO$28,MATCH($A33,Feb!$A$6:$A$28,0)),0)+IFERROR(INDEX(Mar!AO$6:AO$31,MATCH($A33,Mar!$A$6:$A$31,0)),0)+IFERROR(INDEX(Apr!AO$6:AO$31,MATCH($A33,Apr!$A$6:$A$31,0)),0)+IFERROR(INDEX(May!AO$6:AO$31,MATCH($A33,May!$A$6:$A$31,0)),0)+IFERROR(INDEX(Jun!AO$6:AO$31,MATCH($A33,Jun!$A$6:$A$31,0)),0)+IFERROR(INDEX(Jul!AO$6:AO$31,MATCH($A33,Jul!$A$6:$A$31,0)),0)</f>
        <v>0</v>
      </c>
      <c r="R33" s="103" t="str">
        <f t="shared" si="7"/>
        <v/>
      </c>
      <c r="S33" s="84">
        <f>C33+E33+G33+I33+K33+M33+O33+Q33</f>
        <v>0</v>
      </c>
    </row>
    <row r="34" spans="1:20" s="16" customFormat="1" ht="14" x14ac:dyDescent="0.25">
      <c r="A34" s="52"/>
      <c r="B34" s="53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19" t="s">
        <v>35</v>
      </c>
    </row>
    <row r="35" spans="1:20" s="18" customFormat="1" ht="16.5" customHeight="1" x14ac:dyDescent="0.25">
      <c r="A35" s="37"/>
      <c r="B35" s="55" t="s">
        <v>36</v>
      </c>
      <c r="C35" s="54">
        <f>SUM(C10:C34)</f>
        <v>0</v>
      </c>
      <c r="D35" s="54">
        <v>0</v>
      </c>
      <c r="E35" s="54">
        <f t="shared" ref="E35:S35" si="8">SUM(E10:E34)</f>
        <v>2</v>
      </c>
      <c r="F35" s="54">
        <v>0</v>
      </c>
      <c r="G35" s="54">
        <f t="shared" si="8"/>
        <v>0</v>
      </c>
      <c r="H35" s="54">
        <v>0</v>
      </c>
      <c r="I35" s="54">
        <f t="shared" si="8"/>
        <v>0</v>
      </c>
      <c r="J35" s="54">
        <v>0</v>
      </c>
      <c r="K35" s="54">
        <f t="shared" si="8"/>
        <v>0</v>
      </c>
      <c r="L35" s="54">
        <v>0</v>
      </c>
      <c r="M35" s="54">
        <f t="shared" si="8"/>
        <v>4</v>
      </c>
      <c r="N35" s="54">
        <v>0</v>
      </c>
      <c r="O35" s="54">
        <f t="shared" si="8"/>
        <v>0</v>
      </c>
      <c r="P35" s="54">
        <v>0</v>
      </c>
      <c r="Q35" s="54">
        <f t="shared" si="8"/>
        <v>0</v>
      </c>
      <c r="R35" s="54"/>
      <c r="S35" s="54">
        <f t="shared" si="8"/>
        <v>6</v>
      </c>
      <c r="T35" s="15"/>
    </row>
    <row r="38" spans="1:20" x14ac:dyDescent="0.25">
      <c r="A38" s="65" t="s">
        <v>37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66" t="s">
        <v>38</v>
      </c>
    </row>
  </sheetData>
  <mergeCells count="10">
    <mergeCell ref="C7:Q7"/>
    <mergeCell ref="A7:B7"/>
    <mergeCell ref="C8:D8"/>
    <mergeCell ref="E8:F8"/>
    <mergeCell ref="G8:H8"/>
    <mergeCell ref="I8:J8"/>
    <mergeCell ref="K8:L8"/>
    <mergeCell ref="M8:N8"/>
    <mergeCell ref="O8:P8"/>
    <mergeCell ref="Q8:R8"/>
  </mergeCells>
  <hyperlinks>
    <hyperlink ref="T2" r:id="rId1"/>
    <hyperlink ref="A38" r:id="rId2"/>
  </hyperlinks>
  <printOptions horizontalCentered="1"/>
  <pageMargins left="0.5" right="0.5" top="0.5" bottom="0.5" header="0.5" footer="0.25"/>
  <pageSetup orientation="portrait" r:id="rId3"/>
  <headerFooter alignWithMargins="0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O33"/>
  <sheetViews>
    <sheetView showGridLines="0" zoomScale="90" zoomScaleNormal="90" workbookViewId="0">
      <selection activeCell="AI6" sqref="AI6"/>
    </sheetView>
  </sheetViews>
  <sheetFormatPr defaultColWidth="9.1796875" defaultRowHeight="12.5" x14ac:dyDescent="0.25"/>
  <cols>
    <col min="1" max="1" width="5.453125" style="18" customWidth="1"/>
    <col min="2" max="2" width="26.7265625" style="18" customWidth="1"/>
    <col min="3" max="33" width="3.26953125" style="18" customWidth="1"/>
    <col min="34" max="41" width="4.26953125" style="18" customWidth="1"/>
    <col min="42" max="16384" width="9.1796875" style="18"/>
  </cols>
  <sheetData>
    <row r="1" spans="1:41" ht="26.25" customHeight="1" x14ac:dyDescent="0.25">
      <c r="A1" s="17" t="str">
        <f>"January "&amp;YearToDate!$B$3</f>
        <v>January 2024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26" t="s">
        <v>0</v>
      </c>
    </row>
    <row r="2" spans="1:41" x14ac:dyDescent="0.25">
      <c r="AO2" s="27" t="s">
        <v>39</v>
      </c>
    </row>
    <row r="4" spans="1:41" ht="22" customHeight="1" x14ac:dyDescent="0.25">
      <c r="A4" s="60" t="s">
        <v>6</v>
      </c>
      <c r="B4" s="61"/>
      <c r="C4" s="74" t="str">
        <f>YearToDate!$A$5</f>
        <v>A = Annual,  S = Sick, M = Maternity, CM = Compationate, T = Terminal leave, ST = Study, E = Examination, CA = Casual</v>
      </c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1" t="s">
        <v>36</v>
      </c>
      <c r="AI4" s="71"/>
      <c r="AJ4" s="71"/>
      <c r="AK4" s="71"/>
      <c r="AL4" s="71"/>
      <c r="AM4" s="71"/>
      <c r="AN4" s="71"/>
      <c r="AO4" s="71"/>
    </row>
    <row r="5" spans="1:41" ht="16.5" customHeight="1" x14ac:dyDescent="0.25">
      <c r="A5" s="58"/>
      <c r="B5" s="59"/>
      <c r="C5" s="30" t="str">
        <f>IF(C6="","",INDEX({"Su";"M";"Tu";"W";"Th";"F";"Sa"},WEEKDAY(C6,1)))</f>
        <v>M</v>
      </c>
      <c r="D5" s="30" t="str">
        <f>IF(D6="","",INDEX({"Su";"M";"Tu";"W";"Th";"F";"Sa"},WEEKDAY(D6,1)))</f>
        <v>Tu</v>
      </c>
      <c r="E5" s="30" t="str">
        <f>IF(E6="","",INDEX({"Su";"M";"Tu";"W";"Th";"F";"Sa"},WEEKDAY(E6,1)))</f>
        <v>W</v>
      </c>
      <c r="F5" s="30" t="str">
        <f>IF(F6="","",INDEX({"Su";"M";"Tu";"W";"Th";"F";"Sa"},WEEKDAY(F6,1)))</f>
        <v>Th</v>
      </c>
      <c r="G5" s="30" t="str">
        <f>IF(G6="","",INDEX({"Su";"M";"Tu";"W";"Th";"F";"Sa"},WEEKDAY(G6,1)))</f>
        <v>F</v>
      </c>
      <c r="H5" s="30" t="str">
        <f>IF(H6="","",INDEX({"Su";"M";"Tu";"W";"Th";"F";"Sa"},WEEKDAY(H6,1)))</f>
        <v>Sa</v>
      </c>
      <c r="I5" s="30" t="str">
        <f>IF(I6="","",INDEX({"Su";"M";"Tu";"W";"Th";"F";"Sa"},WEEKDAY(I6,1)))</f>
        <v>Su</v>
      </c>
      <c r="J5" s="30" t="str">
        <f>IF(J6="","",INDEX({"Su";"M";"Tu";"W";"Th";"F";"Sa"},WEEKDAY(J6,1)))</f>
        <v>M</v>
      </c>
      <c r="K5" s="30" t="str">
        <f>IF(K6="","",INDEX({"Su";"M";"Tu";"W";"Th";"F";"Sa"},WEEKDAY(K6,1)))</f>
        <v>Tu</v>
      </c>
      <c r="L5" s="30" t="str">
        <f>IF(L6="","",INDEX({"Su";"M";"Tu";"W";"Th";"F";"Sa"},WEEKDAY(L6,1)))</f>
        <v>W</v>
      </c>
      <c r="M5" s="30" t="str">
        <f>IF(M6="","",INDEX({"Su";"M";"Tu";"W";"Th";"F";"Sa"},WEEKDAY(M6,1)))</f>
        <v>Th</v>
      </c>
      <c r="N5" s="30" t="str">
        <f>IF(N6="","",INDEX({"Su";"M";"Tu";"W";"Th";"F";"Sa"},WEEKDAY(N6,1)))</f>
        <v>F</v>
      </c>
      <c r="O5" s="30" t="str">
        <f>IF(O6="","",INDEX({"Su";"M";"Tu";"W";"Th";"F";"Sa"},WEEKDAY(O6,1)))</f>
        <v>Sa</v>
      </c>
      <c r="P5" s="30" t="str">
        <f>IF(P6="","",INDEX({"Su";"M";"Tu";"W";"Th";"F";"Sa"},WEEKDAY(P6,1)))</f>
        <v>Su</v>
      </c>
      <c r="Q5" s="30" t="str">
        <f>IF(Q6="","",INDEX({"Su";"M";"Tu";"W";"Th";"F";"Sa"},WEEKDAY(Q6,1)))</f>
        <v>M</v>
      </c>
      <c r="R5" s="30" t="str">
        <f>IF(R6="","",INDEX({"Su";"M";"Tu";"W";"Th";"F";"Sa"},WEEKDAY(R6,1)))</f>
        <v>Tu</v>
      </c>
      <c r="S5" s="30" t="str">
        <f>IF(S6="","",INDEX({"Su";"M";"Tu";"W";"Th";"F";"Sa"},WEEKDAY(S6,1)))</f>
        <v>W</v>
      </c>
      <c r="T5" s="30" t="str">
        <f>IF(T6="","",INDEX({"Su";"M";"Tu";"W";"Th";"F";"Sa"},WEEKDAY(T6,1)))</f>
        <v>Th</v>
      </c>
      <c r="U5" s="30" t="str">
        <f>IF(U6="","",INDEX({"Su";"M";"Tu";"W";"Th";"F";"Sa"},WEEKDAY(U6,1)))</f>
        <v>F</v>
      </c>
      <c r="V5" s="30" t="str">
        <f>IF(V6="","",INDEX({"Su";"M";"Tu";"W";"Th";"F";"Sa"},WEEKDAY(V6,1)))</f>
        <v>Sa</v>
      </c>
      <c r="W5" s="30" t="str">
        <f>IF(W6="","",INDEX({"Su";"M";"Tu";"W";"Th";"F";"Sa"},WEEKDAY(W6,1)))</f>
        <v>Su</v>
      </c>
      <c r="X5" s="30" t="str">
        <f>IF(X6="","",INDEX({"Su";"M";"Tu";"W";"Th";"F";"Sa"},WEEKDAY(X6,1)))</f>
        <v>M</v>
      </c>
      <c r="Y5" s="30" t="str">
        <f>IF(Y6="","",INDEX({"Su";"M";"Tu";"W";"Th";"F";"Sa"},WEEKDAY(Y6,1)))</f>
        <v>Tu</v>
      </c>
      <c r="Z5" s="30" t="str">
        <f>IF(Z6="","",INDEX({"Su";"M";"Tu";"W";"Th";"F";"Sa"},WEEKDAY(Z6,1)))</f>
        <v>W</v>
      </c>
      <c r="AA5" s="30" t="str">
        <f>IF(AA6="","",INDEX({"Su";"M";"Tu";"W";"Th";"F";"Sa"},WEEKDAY(AA6,1)))</f>
        <v>Th</v>
      </c>
      <c r="AB5" s="30" t="str">
        <f>IF(AB6="","",INDEX({"Su";"M";"Tu";"W";"Th";"F";"Sa"},WEEKDAY(AB6,1)))</f>
        <v>F</v>
      </c>
      <c r="AC5" s="30" t="str">
        <f>IF(AC6="","",INDEX({"Su";"M";"Tu";"W";"Th";"F";"Sa"},WEEKDAY(AC6,1)))</f>
        <v>Sa</v>
      </c>
      <c r="AD5" s="30" t="str">
        <f>IF(AD6="","",INDEX({"Su";"M";"Tu";"W";"Th";"F";"Sa"},WEEKDAY(AD6,1)))</f>
        <v>Su</v>
      </c>
      <c r="AE5" s="30" t="str">
        <f>IF(AE6="","",INDEX({"Su";"M";"Tu";"W";"Th";"F";"Sa"},WEEKDAY(AE6,1)))</f>
        <v>M</v>
      </c>
      <c r="AF5" s="30" t="str">
        <f>IF(AF6="","",INDEX({"Su";"M";"Tu";"W";"Th";"F";"Sa"},WEEKDAY(AF6,1)))</f>
        <v>Tu</v>
      </c>
      <c r="AG5" s="30" t="str">
        <f>IF(AG6="","",INDEX({"Su";"M";"Tu";"W";"Th";"F";"Sa"},WEEKDAY(AG6,1)))</f>
        <v>W</v>
      </c>
      <c r="AH5" s="62"/>
      <c r="AI5" s="62"/>
      <c r="AJ5" s="62"/>
      <c r="AK5" s="62"/>
      <c r="AL5" s="62"/>
      <c r="AM5" s="62"/>
      <c r="AN5" s="62"/>
      <c r="AO5" s="62"/>
    </row>
    <row r="6" spans="1:41" ht="16.5" customHeight="1" x14ac:dyDescent="0.25">
      <c r="A6" s="45" t="s">
        <v>8</v>
      </c>
      <c r="B6" s="38" t="s">
        <v>9</v>
      </c>
      <c r="C6" s="43">
        <f>DATE(YearToDate!$B$3,1,1)</f>
        <v>45292</v>
      </c>
      <c r="D6" s="43">
        <f>C6+1</f>
        <v>45293</v>
      </c>
      <c r="E6" s="43">
        <f t="shared" ref="E6:AD6" si="0">D6+1</f>
        <v>45294</v>
      </c>
      <c r="F6" s="43">
        <f t="shared" si="0"/>
        <v>45295</v>
      </c>
      <c r="G6" s="43">
        <f>F6+1</f>
        <v>45296</v>
      </c>
      <c r="H6" s="43">
        <f t="shared" si="0"/>
        <v>45297</v>
      </c>
      <c r="I6" s="43">
        <f t="shared" si="0"/>
        <v>45298</v>
      </c>
      <c r="J6" s="43">
        <f t="shared" si="0"/>
        <v>45299</v>
      </c>
      <c r="K6" s="43">
        <f t="shared" si="0"/>
        <v>45300</v>
      </c>
      <c r="L6" s="43">
        <f t="shared" si="0"/>
        <v>45301</v>
      </c>
      <c r="M6" s="43">
        <f t="shared" si="0"/>
        <v>45302</v>
      </c>
      <c r="N6" s="43">
        <f t="shared" si="0"/>
        <v>45303</v>
      </c>
      <c r="O6" s="43">
        <f t="shared" si="0"/>
        <v>45304</v>
      </c>
      <c r="P6" s="43">
        <f t="shared" si="0"/>
        <v>45305</v>
      </c>
      <c r="Q6" s="43">
        <f t="shared" si="0"/>
        <v>45306</v>
      </c>
      <c r="R6" s="43">
        <f t="shared" si="0"/>
        <v>45307</v>
      </c>
      <c r="S6" s="43">
        <f t="shared" si="0"/>
        <v>45308</v>
      </c>
      <c r="T6" s="43">
        <f t="shared" si="0"/>
        <v>45309</v>
      </c>
      <c r="U6" s="43">
        <f t="shared" si="0"/>
        <v>45310</v>
      </c>
      <c r="V6" s="43">
        <f t="shared" si="0"/>
        <v>45311</v>
      </c>
      <c r="W6" s="43">
        <f t="shared" si="0"/>
        <v>45312</v>
      </c>
      <c r="X6" s="43">
        <f t="shared" si="0"/>
        <v>45313</v>
      </c>
      <c r="Y6" s="43">
        <f t="shared" si="0"/>
        <v>45314</v>
      </c>
      <c r="Z6" s="43">
        <f t="shared" si="0"/>
        <v>45315</v>
      </c>
      <c r="AA6" s="43">
        <f t="shared" si="0"/>
        <v>45316</v>
      </c>
      <c r="AB6" s="43">
        <f t="shared" si="0"/>
        <v>45317</v>
      </c>
      <c r="AC6" s="43">
        <f t="shared" si="0"/>
        <v>45318</v>
      </c>
      <c r="AD6" s="43">
        <f t="shared" si="0"/>
        <v>45319</v>
      </c>
      <c r="AE6" s="43">
        <f>IF(MONTH($AD6+1)&gt;MONTH($C$6),"",$AD6+1)</f>
        <v>45320</v>
      </c>
      <c r="AF6" s="43">
        <f>IF(MONTH($AD6+2)&gt;MONTH($C$6),"",$AD6+2)</f>
        <v>45321</v>
      </c>
      <c r="AG6" s="43">
        <f>IF(MONTH($AD6+3)&gt;MONTH($C$6),"",$AD6+3)</f>
        <v>45322</v>
      </c>
      <c r="AH6" s="31" t="str">
        <f>YearToDate!C9</f>
        <v>A</v>
      </c>
      <c r="AI6" s="31" t="str">
        <f>YearToDate!E9</f>
        <v>S</v>
      </c>
      <c r="AJ6" s="31" t="str">
        <f>YearToDate!G9</f>
        <v>M</v>
      </c>
      <c r="AK6" s="31" t="str">
        <f>YearToDate!I9</f>
        <v>CM</v>
      </c>
      <c r="AL6" s="31" t="str">
        <f>YearToDate!K9</f>
        <v>T</v>
      </c>
      <c r="AM6" s="31" t="str">
        <f>YearToDate!M9</f>
        <v>ST</v>
      </c>
      <c r="AN6" s="31" t="str">
        <f>YearToDate!O9</f>
        <v>E</v>
      </c>
      <c r="AO6" s="31" t="str">
        <f>YearToDate!Q9</f>
        <v>CA</v>
      </c>
    </row>
    <row r="7" spans="1:41" ht="16.5" customHeight="1" x14ac:dyDescent="0.25">
      <c r="A7" s="39">
        <f>YearToDate!A10</f>
        <v>1</v>
      </c>
      <c r="B7" s="40" t="str">
        <f>VLOOKUP(A7,YearToDate!$A$9:$B$34,2,0)</f>
        <v>AHMAN ABDULJABBAR</v>
      </c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46"/>
      <c r="AH7" s="47">
        <f>COUNTIF($C7:$AG7,AH$6)+0.5*COUNTIF($C7:$AG7,AH$6&amp;"H")+0.5*COUNTIF($C7:$AG7,"H"&amp;AH$6)</f>
        <v>0</v>
      </c>
      <c r="AI7" s="47">
        <f t="shared" ref="AI7:AO18" si="1">COUNTIF($C7:$AG7,AI$6)+0.5*COUNTIF($C7:$AG7,AI$6&amp;"H")+0.5*COUNTIF($C7:$AG7,"H"&amp;AI$6)</f>
        <v>0</v>
      </c>
      <c r="AJ7" s="47">
        <f t="shared" si="1"/>
        <v>0</v>
      </c>
      <c r="AK7" s="47">
        <f t="shared" si="1"/>
        <v>0</v>
      </c>
      <c r="AL7" s="47">
        <f t="shared" si="1"/>
        <v>0</v>
      </c>
      <c r="AM7" s="47">
        <f t="shared" si="1"/>
        <v>0</v>
      </c>
      <c r="AN7" s="47">
        <f t="shared" si="1"/>
        <v>0</v>
      </c>
      <c r="AO7" s="47">
        <f t="shared" si="1"/>
        <v>0</v>
      </c>
    </row>
    <row r="8" spans="1:41" ht="16.5" customHeight="1" x14ac:dyDescent="0.25">
      <c r="A8" s="39">
        <f>YearToDate!A11</f>
        <v>2</v>
      </c>
      <c r="B8" s="40" t="str">
        <f>VLOOKUP(A8,YearToDate!$A$9:$B$34,2,0)</f>
        <v>ALIYU MUSA ABUBAKAR</v>
      </c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46"/>
      <c r="AH8" s="47">
        <f t="shared" ref="AH8:AO30" si="2">COUNTIF($C8:$AG8,AH$6)+0.5*COUNTIF($C8:$AG8,AH$6&amp;"H")+0.5*COUNTIF($C8:$AG8,"H"&amp;AH$6)</f>
        <v>0</v>
      </c>
      <c r="AI8" s="47">
        <f t="shared" si="1"/>
        <v>0</v>
      </c>
      <c r="AJ8" s="47">
        <f t="shared" si="1"/>
        <v>0</v>
      </c>
      <c r="AK8" s="47">
        <f t="shared" si="1"/>
        <v>0</v>
      </c>
      <c r="AL8" s="47">
        <f t="shared" si="1"/>
        <v>0</v>
      </c>
      <c r="AM8" s="47">
        <f t="shared" si="1"/>
        <v>0</v>
      </c>
      <c r="AN8" s="47">
        <f t="shared" si="1"/>
        <v>0</v>
      </c>
      <c r="AO8" s="47">
        <f t="shared" si="1"/>
        <v>0</v>
      </c>
    </row>
    <row r="9" spans="1:41" ht="16.5" customHeight="1" x14ac:dyDescent="0.25">
      <c r="A9" s="39">
        <f>YearToDate!A12</f>
        <v>3</v>
      </c>
      <c r="B9" s="40" t="str">
        <f>VLOOKUP(A9,YearToDate!$A$9:$B$34,2,0)</f>
        <v>GOSTA ALIYU</v>
      </c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46"/>
      <c r="AH9" s="47">
        <f t="shared" si="2"/>
        <v>0</v>
      </c>
      <c r="AI9" s="47">
        <f t="shared" si="1"/>
        <v>0</v>
      </c>
      <c r="AJ9" s="47">
        <f t="shared" si="1"/>
        <v>0</v>
      </c>
      <c r="AK9" s="47">
        <f t="shared" si="1"/>
        <v>0</v>
      </c>
      <c r="AL9" s="47">
        <f t="shared" si="1"/>
        <v>0</v>
      </c>
      <c r="AM9" s="47">
        <f t="shared" si="1"/>
        <v>0</v>
      </c>
      <c r="AN9" s="47">
        <f t="shared" si="1"/>
        <v>0</v>
      </c>
      <c r="AO9" s="47">
        <f t="shared" si="1"/>
        <v>0</v>
      </c>
    </row>
    <row r="10" spans="1:41" ht="16.5" customHeight="1" x14ac:dyDescent="0.25">
      <c r="A10" s="39">
        <f>YearToDate!A13</f>
        <v>4</v>
      </c>
      <c r="B10" s="40" t="str">
        <f>VLOOKUP(A10,YearToDate!$A$9:$B$34,2,0)</f>
        <v>IBRAHIM TUKURA RILWAN</v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46"/>
      <c r="AH10" s="47">
        <f t="shared" si="2"/>
        <v>0</v>
      </c>
      <c r="AI10" s="47">
        <f t="shared" si="1"/>
        <v>0</v>
      </c>
      <c r="AJ10" s="47">
        <f t="shared" si="1"/>
        <v>0</v>
      </c>
      <c r="AK10" s="47">
        <f t="shared" si="1"/>
        <v>0</v>
      </c>
      <c r="AL10" s="47">
        <f t="shared" si="1"/>
        <v>0</v>
      </c>
      <c r="AM10" s="47">
        <f t="shared" si="1"/>
        <v>0</v>
      </c>
      <c r="AN10" s="47">
        <f t="shared" si="1"/>
        <v>0</v>
      </c>
      <c r="AO10" s="47">
        <f t="shared" si="1"/>
        <v>0</v>
      </c>
    </row>
    <row r="11" spans="1:41" ht="16.5" customHeight="1" x14ac:dyDescent="0.25">
      <c r="A11" s="39">
        <f>YearToDate!A14</f>
        <v>5</v>
      </c>
      <c r="B11" s="40" t="str">
        <f>VLOOKUP(A11,YearToDate!$A$9:$B$34,2,0)</f>
        <v>HASSAN HABEEB</v>
      </c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46"/>
      <c r="AH11" s="47">
        <f t="shared" si="2"/>
        <v>0</v>
      </c>
      <c r="AI11" s="47">
        <f t="shared" si="1"/>
        <v>0</v>
      </c>
      <c r="AJ11" s="47">
        <f t="shared" si="1"/>
        <v>0</v>
      </c>
      <c r="AK11" s="47">
        <f t="shared" si="1"/>
        <v>0</v>
      </c>
      <c r="AL11" s="47">
        <f t="shared" si="1"/>
        <v>0</v>
      </c>
      <c r="AM11" s="47">
        <f t="shared" si="1"/>
        <v>0</v>
      </c>
      <c r="AN11" s="47">
        <f t="shared" si="1"/>
        <v>0</v>
      </c>
      <c r="AO11" s="47">
        <f t="shared" si="1"/>
        <v>0</v>
      </c>
    </row>
    <row r="12" spans="1:41" ht="16.5" customHeight="1" x14ac:dyDescent="0.25">
      <c r="A12" s="39">
        <f>YearToDate!A15</f>
        <v>6</v>
      </c>
      <c r="B12" s="40" t="s">
        <v>27</v>
      </c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 t="s">
        <v>11</v>
      </c>
      <c r="AB12" s="39"/>
      <c r="AC12" s="39"/>
      <c r="AD12" s="39"/>
      <c r="AE12" s="39"/>
      <c r="AF12" s="39" t="s">
        <v>11</v>
      </c>
      <c r="AG12" s="46"/>
      <c r="AH12" s="47">
        <f t="shared" si="2"/>
        <v>0</v>
      </c>
      <c r="AI12" s="47">
        <f t="shared" si="1"/>
        <v>2</v>
      </c>
      <c r="AJ12" s="47">
        <f t="shared" si="1"/>
        <v>0</v>
      </c>
      <c r="AK12" s="47">
        <f t="shared" si="1"/>
        <v>0</v>
      </c>
      <c r="AL12" s="47">
        <f t="shared" si="1"/>
        <v>0</v>
      </c>
      <c r="AM12" s="47">
        <f t="shared" si="1"/>
        <v>0</v>
      </c>
      <c r="AN12" s="47">
        <f t="shared" si="1"/>
        <v>0</v>
      </c>
      <c r="AO12" s="47">
        <f t="shared" si="1"/>
        <v>0</v>
      </c>
    </row>
    <row r="13" spans="1:41" ht="16.5" customHeight="1" x14ac:dyDescent="0.25">
      <c r="A13" s="39">
        <f>YearToDate!A16</f>
        <v>7</v>
      </c>
      <c r="B13" s="40" t="s">
        <v>28</v>
      </c>
      <c r="C13" s="39"/>
      <c r="D13" s="39"/>
      <c r="E13" s="39"/>
      <c r="F13" s="39"/>
      <c r="G13" s="39" t="s">
        <v>15</v>
      </c>
      <c r="H13" s="39" t="s">
        <v>15</v>
      </c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 t="s">
        <v>15</v>
      </c>
      <c r="U13" s="39" t="s">
        <v>15</v>
      </c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46"/>
      <c r="AH13" s="47">
        <f t="shared" si="2"/>
        <v>0</v>
      </c>
      <c r="AI13" s="47">
        <f t="shared" si="1"/>
        <v>0</v>
      </c>
      <c r="AJ13" s="47">
        <f t="shared" si="1"/>
        <v>0</v>
      </c>
      <c r="AK13" s="47">
        <f t="shared" si="1"/>
        <v>0</v>
      </c>
      <c r="AL13" s="47">
        <f t="shared" si="1"/>
        <v>0</v>
      </c>
      <c r="AM13" s="47">
        <f t="shared" si="1"/>
        <v>4</v>
      </c>
      <c r="AN13" s="47">
        <f t="shared" si="1"/>
        <v>0</v>
      </c>
      <c r="AO13" s="47">
        <f t="shared" si="1"/>
        <v>0</v>
      </c>
    </row>
    <row r="14" spans="1:41" ht="16.5" customHeight="1" x14ac:dyDescent="0.25">
      <c r="A14" s="39">
        <f>YearToDate!A17</f>
        <v>8</v>
      </c>
      <c r="B14" s="40" t="s">
        <v>30</v>
      </c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46"/>
      <c r="AH14" s="47">
        <f t="shared" si="2"/>
        <v>0</v>
      </c>
      <c r="AI14" s="47">
        <f t="shared" si="1"/>
        <v>0</v>
      </c>
      <c r="AJ14" s="47">
        <f t="shared" si="1"/>
        <v>0</v>
      </c>
      <c r="AK14" s="47">
        <f t="shared" si="1"/>
        <v>0</v>
      </c>
      <c r="AL14" s="47">
        <f t="shared" si="1"/>
        <v>0</v>
      </c>
      <c r="AM14" s="47">
        <f t="shared" si="1"/>
        <v>0</v>
      </c>
      <c r="AN14" s="47">
        <f t="shared" si="1"/>
        <v>0</v>
      </c>
      <c r="AO14" s="47">
        <f t="shared" si="1"/>
        <v>0</v>
      </c>
    </row>
    <row r="15" spans="1:41" ht="16.5" customHeight="1" x14ac:dyDescent="0.25">
      <c r="A15" s="39">
        <f>YearToDate!A18</f>
        <v>9</v>
      </c>
      <c r="B15" s="40" t="s">
        <v>32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46"/>
      <c r="AH15" s="47">
        <f t="shared" si="2"/>
        <v>0</v>
      </c>
      <c r="AI15" s="47">
        <f t="shared" si="1"/>
        <v>0</v>
      </c>
      <c r="AJ15" s="47">
        <f t="shared" si="1"/>
        <v>0</v>
      </c>
      <c r="AK15" s="47">
        <f t="shared" si="1"/>
        <v>0</v>
      </c>
      <c r="AL15" s="47">
        <f t="shared" si="1"/>
        <v>0</v>
      </c>
      <c r="AM15" s="47">
        <f t="shared" si="1"/>
        <v>0</v>
      </c>
      <c r="AN15" s="47">
        <f t="shared" si="1"/>
        <v>0</v>
      </c>
      <c r="AO15" s="47">
        <f t="shared" si="1"/>
        <v>0</v>
      </c>
    </row>
    <row r="16" spans="1:41" ht="16.5" customHeight="1" x14ac:dyDescent="0.25">
      <c r="A16" s="39">
        <f>YearToDate!A19</f>
        <v>10</v>
      </c>
      <c r="B16" s="40" t="s">
        <v>33</v>
      </c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46"/>
      <c r="AH16" s="47">
        <f t="shared" si="2"/>
        <v>0</v>
      </c>
      <c r="AI16" s="47">
        <f t="shared" si="1"/>
        <v>0</v>
      </c>
      <c r="AJ16" s="47">
        <f t="shared" si="1"/>
        <v>0</v>
      </c>
      <c r="AK16" s="47">
        <f t="shared" si="1"/>
        <v>0</v>
      </c>
      <c r="AL16" s="47">
        <f t="shared" si="1"/>
        <v>0</v>
      </c>
      <c r="AM16" s="47">
        <f t="shared" si="1"/>
        <v>0</v>
      </c>
      <c r="AN16" s="47">
        <f t="shared" si="1"/>
        <v>0</v>
      </c>
      <c r="AO16" s="47">
        <f t="shared" si="1"/>
        <v>0</v>
      </c>
    </row>
    <row r="17" spans="1:41" ht="16.5" customHeight="1" x14ac:dyDescent="0.25">
      <c r="A17" s="39">
        <f>YearToDate!A20</f>
        <v>11</v>
      </c>
      <c r="B17" s="40" t="s">
        <v>34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46"/>
      <c r="AH17" s="47">
        <f t="shared" si="2"/>
        <v>0</v>
      </c>
      <c r="AI17" s="47">
        <f t="shared" si="1"/>
        <v>0</v>
      </c>
      <c r="AJ17" s="47">
        <f t="shared" si="1"/>
        <v>0</v>
      </c>
      <c r="AK17" s="47">
        <f t="shared" si="1"/>
        <v>0</v>
      </c>
      <c r="AL17" s="47">
        <f t="shared" si="1"/>
        <v>0</v>
      </c>
      <c r="AM17" s="47">
        <f t="shared" si="1"/>
        <v>0</v>
      </c>
      <c r="AN17" s="47">
        <f t="shared" si="1"/>
        <v>0</v>
      </c>
      <c r="AO17" s="47">
        <f t="shared" si="1"/>
        <v>0</v>
      </c>
    </row>
    <row r="18" spans="1:41" ht="16.5" customHeight="1" x14ac:dyDescent="0.25">
      <c r="A18" s="39">
        <f>YearToDate!A21</f>
        <v>18</v>
      </c>
      <c r="B18" s="40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46"/>
      <c r="AH18" s="47">
        <f t="shared" si="2"/>
        <v>0</v>
      </c>
      <c r="AI18" s="47">
        <f t="shared" si="1"/>
        <v>0</v>
      </c>
      <c r="AJ18" s="47">
        <f t="shared" si="1"/>
        <v>0</v>
      </c>
      <c r="AK18" s="47">
        <f t="shared" si="1"/>
        <v>0</v>
      </c>
      <c r="AL18" s="47">
        <f t="shared" si="1"/>
        <v>0</v>
      </c>
      <c r="AM18" s="47">
        <f t="shared" si="1"/>
        <v>0</v>
      </c>
      <c r="AN18" s="47">
        <f t="shared" si="1"/>
        <v>0</v>
      </c>
      <c r="AO18" s="47">
        <f t="shared" si="1"/>
        <v>0</v>
      </c>
    </row>
    <row r="19" spans="1:41" ht="16.5" customHeight="1" x14ac:dyDescent="0.25">
      <c r="A19" s="39">
        <f>YearToDate!A22</f>
        <v>19</v>
      </c>
      <c r="B19" s="40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46"/>
      <c r="AH19" s="47">
        <f t="shared" si="2"/>
        <v>0</v>
      </c>
      <c r="AI19" s="47">
        <f t="shared" si="2"/>
        <v>0</v>
      </c>
      <c r="AJ19" s="47">
        <f t="shared" si="2"/>
        <v>0</v>
      </c>
      <c r="AK19" s="47">
        <f t="shared" si="2"/>
        <v>0</v>
      </c>
      <c r="AL19" s="47">
        <f t="shared" si="2"/>
        <v>0</v>
      </c>
      <c r="AM19" s="47">
        <f t="shared" si="2"/>
        <v>0</v>
      </c>
      <c r="AN19" s="47">
        <f t="shared" si="2"/>
        <v>0</v>
      </c>
      <c r="AO19" s="47">
        <f t="shared" si="2"/>
        <v>0</v>
      </c>
    </row>
    <row r="20" spans="1:41" ht="16.5" customHeight="1" x14ac:dyDescent="0.25">
      <c r="A20" s="39">
        <f>YearToDate!A23</f>
        <v>20</v>
      </c>
      <c r="B20" s="40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46"/>
      <c r="AH20" s="47">
        <f t="shared" si="2"/>
        <v>0</v>
      </c>
      <c r="AI20" s="47">
        <f t="shared" si="2"/>
        <v>0</v>
      </c>
      <c r="AJ20" s="47">
        <f t="shared" si="2"/>
        <v>0</v>
      </c>
      <c r="AK20" s="47">
        <f t="shared" si="2"/>
        <v>0</v>
      </c>
      <c r="AL20" s="47">
        <f t="shared" si="2"/>
        <v>0</v>
      </c>
      <c r="AM20" s="47">
        <f t="shared" si="2"/>
        <v>0</v>
      </c>
      <c r="AN20" s="47">
        <f t="shared" si="2"/>
        <v>0</v>
      </c>
      <c r="AO20" s="47">
        <f t="shared" si="2"/>
        <v>0</v>
      </c>
    </row>
    <row r="21" spans="1:41" ht="16.5" customHeight="1" x14ac:dyDescent="0.25">
      <c r="A21" s="39">
        <f>YearToDate!A24</f>
        <v>21</v>
      </c>
      <c r="B21" s="40">
        <f>VLOOKUP(A21,YearToDate!$A$9:$B$34,2,0)</f>
        <v>0</v>
      </c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46"/>
      <c r="AH21" s="47">
        <f t="shared" si="2"/>
        <v>0</v>
      </c>
      <c r="AI21" s="47">
        <f t="shared" si="2"/>
        <v>0</v>
      </c>
      <c r="AJ21" s="47">
        <f t="shared" si="2"/>
        <v>0</v>
      </c>
      <c r="AK21" s="47">
        <f t="shared" si="2"/>
        <v>0</v>
      </c>
      <c r="AL21" s="47">
        <f t="shared" si="2"/>
        <v>0</v>
      </c>
      <c r="AM21" s="47">
        <f t="shared" si="2"/>
        <v>0</v>
      </c>
      <c r="AN21" s="47">
        <f t="shared" si="2"/>
        <v>0</v>
      </c>
      <c r="AO21" s="47">
        <f t="shared" si="2"/>
        <v>0</v>
      </c>
    </row>
    <row r="22" spans="1:41" ht="16.5" customHeight="1" x14ac:dyDescent="0.25">
      <c r="A22" s="39">
        <f>YearToDate!A25</f>
        <v>22</v>
      </c>
      <c r="B22" s="40">
        <f>VLOOKUP(A22,YearToDate!$A$9:$B$34,2,0)</f>
        <v>0</v>
      </c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46"/>
      <c r="AH22" s="47">
        <f t="shared" si="2"/>
        <v>0</v>
      </c>
      <c r="AI22" s="47">
        <f t="shared" si="2"/>
        <v>0</v>
      </c>
      <c r="AJ22" s="47">
        <f t="shared" si="2"/>
        <v>0</v>
      </c>
      <c r="AK22" s="47">
        <f t="shared" si="2"/>
        <v>0</v>
      </c>
      <c r="AL22" s="47">
        <f t="shared" si="2"/>
        <v>0</v>
      </c>
      <c r="AM22" s="47">
        <f t="shared" si="2"/>
        <v>0</v>
      </c>
      <c r="AN22" s="47">
        <f t="shared" si="2"/>
        <v>0</v>
      </c>
      <c r="AO22" s="47">
        <f t="shared" si="2"/>
        <v>0</v>
      </c>
    </row>
    <row r="23" spans="1:41" ht="16.5" customHeight="1" x14ac:dyDescent="0.25">
      <c r="A23" s="39">
        <f>YearToDate!A26</f>
        <v>23</v>
      </c>
      <c r="B23" s="40">
        <f>VLOOKUP(A23,YearToDate!$A$9:$B$34,2,0)</f>
        <v>0</v>
      </c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46"/>
      <c r="AH23" s="47">
        <f t="shared" si="2"/>
        <v>0</v>
      </c>
      <c r="AI23" s="47">
        <f t="shared" si="2"/>
        <v>0</v>
      </c>
      <c r="AJ23" s="47">
        <f t="shared" si="2"/>
        <v>0</v>
      </c>
      <c r="AK23" s="47">
        <f t="shared" si="2"/>
        <v>0</v>
      </c>
      <c r="AL23" s="47">
        <f t="shared" si="2"/>
        <v>0</v>
      </c>
      <c r="AM23" s="47">
        <f t="shared" si="2"/>
        <v>0</v>
      </c>
      <c r="AN23" s="47">
        <f t="shared" si="2"/>
        <v>0</v>
      </c>
      <c r="AO23" s="47">
        <f t="shared" si="2"/>
        <v>0</v>
      </c>
    </row>
    <row r="24" spans="1:41" ht="16.5" customHeight="1" x14ac:dyDescent="0.25">
      <c r="A24" s="39">
        <f>YearToDate!A27</f>
        <v>24</v>
      </c>
      <c r="B24" s="40">
        <f>VLOOKUP(A24,YearToDate!$A$9:$B$34,2,0)</f>
        <v>0</v>
      </c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46"/>
      <c r="AH24" s="47">
        <f t="shared" si="2"/>
        <v>0</v>
      </c>
      <c r="AI24" s="47">
        <f t="shared" si="2"/>
        <v>0</v>
      </c>
      <c r="AJ24" s="47">
        <f t="shared" si="2"/>
        <v>0</v>
      </c>
      <c r="AK24" s="47">
        <f t="shared" si="2"/>
        <v>0</v>
      </c>
      <c r="AL24" s="47">
        <f t="shared" si="2"/>
        <v>0</v>
      </c>
      <c r="AM24" s="47">
        <f t="shared" si="2"/>
        <v>0</v>
      </c>
      <c r="AN24" s="47">
        <f t="shared" si="2"/>
        <v>0</v>
      </c>
      <c r="AO24" s="47">
        <f t="shared" si="2"/>
        <v>0</v>
      </c>
    </row>
    <row r="25" spans="1:41" ht="16.5" customHeight="1" x14ac:dyDescent="0.25">
      <c r="A25" s="39">
        <f>YearToDate!A28</f>
        <v>25</v>
      </c>
      <c r="B25" s="40">
        <f>VLOOKUP(A25,YearToDate!$A$9:$B$34,2,0)</f>
        <v>0</v>
      </c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46"/>
      <c r="AH25" s="47">
        <f t="shared" si="2"/>
        <v>0</v>
      </c>
      <c r="AI25" s="47">
        <f t="shared" si="2"/>
        <v>0</v>
      </c>
      <c r="AJ25" s="47">
        <f t="shared" si="2"/>
        <v>0</v>
      </c>
      <c r="AK25" s="47">
        <f t="shared" si="2"/>
        <v>0</v>
      </c>
      <c r="AL25" s="47">
        <f t="shared" si="2"/>
        <v>0</v>
      </c>
      <c r="AM25" s="47">
        <f t="shared" si="2"/>
        <v>0</v>
      </c>
      <c r="AN25" s="47">
        <f t="shared" si="2"/>
        <v>0</v>
      </c>
      <c r="AO25" s="47">
        <f t="shared" si="2"/>
        <v>0</v>
      </c>
    </row>
    <row r="26" spans="1:41" ht="16.5" customHeight="1" x14ac:dyDescent="0.25">
      <c r="A26" s="39">
        <f>YearToDate!A29</f>
        <v>26</v>
      </c>
      <c r="B26" s="40">
        <f>VLOOKUP(A26,YearToDate!$A$9:$B$34,2,0)</f>
        <v>0</v>
      </c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46"/>
      <c r="AH26" s="47">
        <f t="shared" si="2"/>
        <v>0</v>
      </c>
      <c r="AI26" s="47">
        <f t="shared" si="2"/>
        <v>0</v>
      </c>
      <c r="AJ26" s="47">
        <f t="shared" si="2"/>
        <v>0</v>
      </c>
      <c r="AK26" s="47">
        <f t="shared" si="2"/>
        <v>0</v>
      </c>
      <c r="AL26" s="47">
        <f t="shared" si="2"/>
        <v>0</v>
      </c>
      <c r="AM26" s="47">
        <f t="shared" si="2"/>
        <v>0</v>
      </c>
      <c r="AN26" s="47">
        <f t="shared" si="2"/>
        <v>0</v>
      </c>
      <c r="AO26" s="47">
        <f t="shared" si="2"/>
        <v>0</v>
      </c>
    </row>
    <row r="27" spans="1:41" ht="16.5" customHeight="1" x14ac:dyDescent="0.25">
      <c r="A27" s="39">
        <f>YearToDate!A30</f>
        <v>27</v>
      </c>
      <c r="B27" s="40">
        <f>VLOOKUP(A27,YearToDate!$A$9:$B$34,2,0)</f>
        <v>0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46"/>
      <c r="AH27" s="47">
        <f t="shared" si="2"/>
        <v>0</v>
      </c>
      <c r="AI27" s="47">
        <f t="shared" si="2"/>
        <v>0</v>
      </c>
      <c r="AJ27" s="47">
        <f t="shared" si="2"/>
        <v>0</v>
      </c>
      <c r="AK27" s="47">
        <f t="shared" si="2"/>
        <v>0</v>
      </c>
      <c r="AL27" s="47">
        <f t="shared" si="2"/>
        <v>0</v>
      </c>
      <c r="AM27" s="47">
        <f t="shared" si="2"/>
        <v>0</v>
      </c>
      <c r="AN27" s="47">
        <f t="shared" si="2"/>
        <v>0</v>
      </c>
      <c r="AO27" s="47">
        <f t="shared" si="2"/>
        <v>0</v>
      </c>
    </row>
    <row r="28" spans="1:41" ht="16.5" customHeight="1" x14ac:dyDescent="0.25">
      <c r="A28" s="39">
        <f>YearToDate!A31</f>
        <v>28</v>
      </c>
      <c r="B28" s="40">
        <f>VLOOKUP(A28,YearToDate!$A$9:$B$34,2,0)</f>
        <v>0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46"/>
      <c r="AH28" s="47">
        <f t="shared" si="2"/>
        <v>0</v>
      </c>
      <c r="AI28" s="47">
        <f t="shared" si="2"/>
        <v>0</v>
      </c>
      <c r="AJ28" s="47">
        <f t="shared" si="2"/>
        <v>0</v>
      </c>
      <c r="AK28" s="47">
        <f t="shared" si="2"/>
        <v>0</v>
      </c>
      <c r="AL28" s="47">
        <f t="shared" si="2"/>
        <v>0</v>
      </c>
      <c r="AM28" s="47">
        <f t="shared" si="2"/>
        <v>0</v>
      </c>
      <c r="AN28" s="47">
        <f t="shared" si="2"/>
        <v>0</v>
      </c>
      <c r="AO28" s="47">
        <f t="shared" si="2"/>
        <v>0</v>
      </c>
    </row>
    <row r="29" spans="1:41" ht="16.5" customHeight="1" x14ac:dyDescent="0.25">
      <c r="A29" s="39">
        <f>YearToDate!A32</f>
        <v>29</v>
      </c>
      <c r="B29" s="40">
        <f>VLOOKUP(A29,YearToDate!$A$9:$B$34,2,0)</f>
        <v>0</v>
      </c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46"/>
      <c r="AH29" s="47">
        <f t="shared" si="2"/>
        <v>0</v>
      </c>
      <c r="AI29" s="47">
        <f t="shared" si="2"/>
        <v>0</v>
      </c>
      <c r="AJ29" s="47">
        <f t="shared" si="2"/>
        <v>0</v>
      </c>
      <c r="AK29" s="47">
        <f t="shared" si="2"/>
        <v>0</v>
      </c>
      <c r="AL29" s="47">
        <f t="shared" si="2"/>
        <v>0</v>
      </c>
      <c r="AM29" s="47">
        <f t="shared" si="2"/>
        <v>0</v>
      </c>
      <c r="AN29" s="47">
        <f t="shared" si="2"/>
        <v>0</v>
      </c>
      <c r="AO29" s="47">
        <f t="shared" si="2"/>
        <v>0</v>
      </c>
    </row>
    <row r="30" spans="1:41" ht="16.5" customHeight="1" x14ac:dyDescent="0.25">
      <c r="A30" s="39">
        <f>YearToDate!A33</f>
        <v>30</v>
      </c>
      <c r="B30" s="40">
        <f>VLOOKUP(A30,YearToDate!$A$9:$B$34,2,0)</f>
        <v>0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46"/>
      <c r="AH30" s="47">
        <f t="shared" si="2"/>
        <v>0</v>
      </c>
      <c r="AI30" s="47">
        <f t="shared" si="2"/>
        <v>0</v>
      </c>
      <c r="AJ30" s="47">
        <f t="shared" si="2"/>
        <v>0</v>
      </c>
      <c r="AK30" s="47">
        <f t="shared" si="2"/>
        <v>0</v>
      </c>
      <c r="AL30" s="47">
        <f t="shared" si="2"/>
        <v>0</v>
      </c>
      <c r="AM30" s="47">
        <f t="shared" si="2"/>
        <v>0</v>
      </c>
      <c r="AN30" s="47">
        <f t="shared" si="2"/>
        <v>0</v>
      </c>
      <c r="AO30" s="47">
        <f t="shared" si="2"/>
        <v>0</v>
      </c>
    </row>
    <row r="31" spans="1:41" s="28" customFormat="1" ht="16.5" customHeight="1" x14ac:dyDescent="0.25">
      <c r="A31" s="32"/>
      <c r="B31" s="33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48"/>
      <c r="AI31" s="48"/>
      <c r="AJ31" s="48"/>
      <c r="AK31" s="48"/>
      <c r="AL31" s="48"/>
      <c r="AM31" s="48"/>
      <c r="AN31" s="48"/>
      <c r="AO31" s="48"/>
    </row>
    <row r="32" spans="1:41" ht="16.5" customHeight="1" x14ac:dyDescent="0.25">
      <c r="A32" s="29" t="str">
        <f>HYPERLINK("https://www.vertex42.com/templates/employee-leave-tracker.html","https://www.vertex42.com/templates/employee-leave-tracker.html")</f>
        <v>https://www.vertex42.com/templates/employee-leave-tracker.html</v>
      </c>
      <c r="B32" s="35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AG32" s="37" t="s">
        <v>40</v>
      </c>
      <c r="AH32" s="49">
        <f t="shared" ref="AH32:AO32" si="3">SUM(AH7:AH31)</f>
        <v>0</v>
      </c>
      <c r="AI32" s="49">
        <f t="shared" si="3"/>
        <v>2</v>
      </c>
      <c r="AJ32" s="49">
        <f t="shared" si="3"/>
        <v>0</v>
      </c>
      <c r="AK32" s="49">
        <f t="shared" si="3"/>
        <v>0</v>
      </c>
      <c r="AL32" s="49">
        <f t="shared" si="3"/>
        <v>0</v>
      </c>
      <c r="AM32" s="49">
        <f t="shared" si="3"/>
        <v>4</v>
      </c>
      <c r="AN32" s="49">
        <f t="shared" si="3"/>
        <v>0</v>
      </c>
      <c r="AO32" s="49">
        <f t="shared" si="3"/>
        <v>0</v>
      </c>
    </row>
    <row r="33" spans="1:2" x14ac:dyDescent="0.25">
      <c r="A33" s="73"/>
      <c r="B33" s="73"/>
    </row>
  </sheetData>
  <mergeCells count="3">
    <mergeCell ref="A33:B33"/>
    <mergeCell ref="C4:AG4"/>
    <mergeCell ref="AH4:AO4"/>
  </mergeCells>
  <conditionalFormatting sqref="C6:AG6">
    <cfRule type="expression" dxfId="59" priority="2" stopIfTrue="1">
      <formula>OR(WEEKDAY(C$6,1)=1,WEEKDAY(C$6,1)=7)</formula>
    </cfRule>
    <cfRule type="cellIs" dxfId="58" priority="3" stopIfTrue="1" operator="equal">
      <formula>""</formula>
    </cfRule>
  </conditionalFormatting>
  <conditionalFormatting sqref="C7:AG30">
    <cfRule type="expression" dxfId="57" priority="4" stopIfTrue="1">
      <formula>OR(WEEKDAY(C$6)=1,WEEKDAY(C$6)=7)</formula>
    </cfRule>
    <cfRule type="expression" dxfId="56" priority="5" stopIfTrue="1">
      <formula>C$6=""</formula>
    </cfRule>
  </conditionalFormatting>
  <dataValidations count="1">
    <dataValidation type="list" allowBlank="1" sqref="C7:AG30">
      <formula1>$AH$6:$AO$6</formula1>
    </dataValidation>
  </dataValidations>
  <printOptions horizontalCentered="1"/>
  <pageMargins left="0.25" right="0.25" top="0.25" bottom="0.25" header="0.5" footer="0.5"/>
  <pageSetup scale="9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O29"/>
  <sheetViews>
    <sheetView showGridLines="0" zoomScale="90" zoomScaleNormal="90" workbookViewId="0">
      <selection activeCell="B21" sqref="B21"/>
    </sheetView>
  </sheetViews>
  <sheetFormatPr defaultColWidth="9.1796875" defaultRowHeight="12.5" x14ac:dyDescent="0.25"/>
  <cols>
    <col min="1" max="1" width="5.453125" style="18" customWidth="1"/>
    <col min="2" max="2" width="24.453125" style="18" customWidth="1"/>
    <col min="3" max="33" width="3.26953125" style="18" customWidth="1"/>
    <col min="34" max="41" width="4.26953125" style="18" customWidth="1"/>
    <col min="42" max="16384" width="9.1796875" style="18"/>
  </cols>
  <sheetData>
    <row r="1" spans="1:41" ht="26.25" customHeight="1" x14ac:dyDescent="0.25">
      <c r="A1" s="17" t="str">
        <f>"February "&amp;YearToDate!$B$3</f>
        <v>February 2024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26" t="s">
        <v>0</v>
      </c>
    </row>
    <row r="2" spans="1:41" x14ac:dyDescent="0.25">
      <c r="AO2" s="27" t="s">
        <v>39</v>
      </c>
    </row>
    <row r="4" spans="1:41" ht="22" customHeight="1" x14ac:dyDescent="0.25">
      <c r="A4" s="60" t="s">
        <v>6</v>
      </c>
      <c r="B4" s="61"/>
      <c r="C4" s="74" t="str">
        <f>YearToDate!$A$5</f>
        <v>A = Annual,  S = Sick, M = Maternity, CM = Compationate, T = Terminal leave, ST = Study, E = Examination, CA = Casual</v>
      </c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1" t="s">
        <v>36</v>
      </c>
      <c r="AI4" s="71"/>
      <c r="AJ4" s="71"/>
      <c r="AK4" s="71"/>
      <c r="AL4" s="71"/>
      <c r="AM4" s="71"/>
      <c r="AN4" s="71"/>
      <c r="AO4" s="71"/>
    </row>
    <row r="5" spans="1:41" ht="16.5" customHeight="1" x14ac:dyDescent="0.25">
      <c r="A5" s="58"/>
      <c r="B5" s="59"/>
      <c r="C5" s="30" t="str">
        <f>IF(C6="","",INDEX({"Su";"M";"Tu";"W";"Th";"F";"Sa"},WEEKDAY(C6,1)))</f>
        <v>Th</v>
      </c>
      <c r="D5" s="30" t="str">
        <f>IF(D6="","",INDEX({"Su";"M";"Tu";"W";"Th";"F";"Sa"},WEEKDAY(D6,1)))</f>
        <v>F</v>
      </c>
      <c r="E5" s="30" t="str">
        <f>IF(E6="","",INDEX({"Su";"M";"Tu";"W";"Th";"F";"Sa"},WEEKDAY(E6,1)))</f>
        <v>Sa</v>
      </c>
      <c r="F5" s="30" t="str">
        <f>IF(F6="","",INDEX({"Su";"M";"Tu";"W";"Th";"F";"Sa"},WEEKDAY(F6,1)))</f>
        <v>Su</v>
      </c>
      <c r="G5" s="30" t="str">
        <f>IF(G6="","",INDEX({"Su";"M";"Tu";"W";"Th";"F";"Sa"},WEEKDAY(G6,1)))</f>
        <v>M</v>
      </c>
      <c r="H5" s="30" t="str">
        <f>IF(H6="","",INDEX({"Su";"M";"Tu";"W";"Th";"F";"Sa"},WEEKDAY(H6,1)))</f>
        <v>Tu</v>
      </c>
      <c r="I5" s="30" t="str">
        <f>IF(I6="","",INDEX({"Su";"M";"Tu";"W";"Th";"F";"Sa"},WEEKDAY(I6,1)))</f>
        <v>W</v>
      </c>
      <c r="J5" s="30" t="str">
        <f>IF(J6="","",INDEX({"Su";"M";"Tu";"W";"Th";"F";"Sa"},WEEKDAY(J6,1)))</f>
        <v>Th</v>
      </c>
      <c r="K5" s="30" t="str">
        <f>IF(K6="","",INDEX({"Su";"M";"Tu";"W";"Th";"F";"Sa"},WEEKDAY(K6,1)))</f>
        <v>F</v>
      </c>
      <c r="L5" s="30" t="str">
        <f>IF(L6="","",INDEX({"Su";"M";"Tu";"W";"Th";"F";"Sa"},WEEKDAY(L6,1)))</f>
        <v>Sa</v>
      </c>
      <c r="M5" s="30" t="str">
        <f>IF(M6="","",INDEX({"Su";"M";"Tu";"W";"Th";"F";"Sa"},WEEKDAY(M6,1)))</f>
        <v>Su</v>
      </c>
      <c r="N5" s="30" t="str">
        <f>IF(N6="","",INDEX({"Su";"M";"Tu";"W";"Th";"F";"Sa"},WEEKDAY(N6,1)))</f>
        <v>M</v>
      </c>
      <c r="O5" s="30" t="str">
        <f>IF(O6="","",INDEX({"Su";"M";"Tu";"W";"Th";"F";"Sa"},WEEKDAY(O6,1)))</f>
        <v>Tu</v>
      </c>
      <c r="P5" s="30" t="str">
        <f>IF(P6="","",INDEX({"Su";"M";"Tu";"W";"Th";"F";"Sa"},WEEKDAY(P6,1)))</f>
        <v>W</v>
      </c>
      <c r="Q5" s="30" t="str">
        <f>IF(Q6="","",INDEX({"Su";"M";"Tu";"W";"Th";"F";"Sa"},WEEKDAY(Q6,1)))</f>
        <v>Th</v>
      </c>
      <c r="R5" s="30" t="str">
        <f>IF(R6="","",INDEX({"Su";"M";"Tu";"W";"Th";"F";"Sa"},WEEKDAY(R6,1)))</f>
        <v>F</v>
      </c>
      <c r="S5" s="30" t="str">
        <f>IF(S6="","",INDEX({"Su";"M";"Tu";"W";"Th";"F";"Sa"},WEEKDAY(S6,1)))</f>
        <v>Sa</v>
      </c>
      <c r="T5" s="30" t="str">
        <f>IF(T6="","",INDEX({"Su";"M";"Tu";"W";"Th";"F";"Sa"},WEEKDAY(T6,1)))</f>
        <v>Su</v>
      </c>
      <c r="U5" s="30" t="str">
        <f>IF(U6="","",INDEX({"Su";"M";"Tu";"W";"Th";"F";"Sa"},WEEKDAY(U6,1)))</f>
        <v>M</v>
      </c>
      <c r="V5" s="30" t="str">
        <f>IF(V6="","",INDEX({"Su";"M";"Tu";"W";"Th";"F";"Sa"},WEEKDAY(V6,1)))</f>
        <v>Tu</v>
      </c>
      <c r="W5" s="30" t="str">
        <f>IF(W6="","",INDEX({"Su";"M";"Tu";"W";"Th";"F";"Sa"},WEEKDAY(W6,1)))</f>
        <v>W</v>
      </c>
      <c r="X5" s="30" t="str">
        <f>IF(X6="","",INDEX({"Su";"M";"Tu";"W";"Th";"F";"Sa"},WEEKDAY(X6,1)))</f>
        <v>Th</v>
      </c>
      <c r="Y5" s="30" t="str">
        <f>IF(Y6="","",INDEX({"Su";"M";"Tu";"W";"Th";"F";"Sa"},WEEKDAY(Y6,1)))</f>
        <v>F</v>
      </c>
      <c r="Z5" s="30" t="str">
        <f>IF(Z6="","",INDEX({"Su";"M";"Tu";"W";"Th";"F";"Sa"},WEEKDAY(Z6,1)))</f>
        <v>Sa</v>
      </c>
      <c r="AA5" s="30" t="str">
        <f>IF(AA6="","",INDEX({"Su";"M";"Tu";"W";"Th";"F";"Sa"},WEEKDAY(AA6,1)))</f>
        <v>Su</v>
      </c>
      <c r="AB5" s="30" t="str">
        <f>IF(AB6="","",INDEX({"Su";"M";"Tu";"W";"Th";"F";"Sa"},WEEKDAY(AB6,1)))</f>
        <v>M</v>
      </c>
      <c r="AC5" s="30" t="str">
        <f>IF(AC6="","",INDEX({"Su";"M";"Tu";"W";"Th";"F";"Sa"},WEEKDAY(AC6,1)))</f>
        <v>Tu</v>
      </c>
      <c r="AD5" s="30" t="str">
        <f>IF(AD6="","",INDEX({"Su";"M";"Tu";"W";"Th";"F";"Sa"},WEEKDAY(AD6,1)))</f>
        <v>W</v>
      </c>
      <c r="AE5" s="30" t="str">
        <f>IF(AE6="","",INDEX({"Su";"M";"Tu";"W";"Th";"F";"Sa"},WEEKDAY(AE6,1)))</f>
        <v>Th</v>
      </c>
      <c r="AF5" s="30" t="str">
        <f>IF(AF6="","",INDEX({"Su";"M";"Tu";"W";"Th";"F";"Sa"},WEEKDAY(AF6,1)))</f>
        <v/>
      </c>
      <c r="AG5" s="30" t="str">
        <f>IF(AG6="","",INDEX({"Su";"M";"Tu";"W";"Th";"F";"Sa"},WEEKDAY(AG6,1)))</f>
        <v/>
      </c>
      <c r="AH5" s="62"/>
      <c r="AI5" s="62"/>
      <c r="AJ5" s="62"/>
      <c r="AK5" s="62"/>
      <c r="AL5" s="62"/>
      <c r="AM5" s="62"/>
      <c r="AN5" s="62"/>
      <c r="AO5" s="62"/>
    </row>
    <row r="6" spans="1:41" ht="16.5" customHeight="1" x14ac:dyDescent="0.25">
      <c r="A6" s="45" t="s">
        <v>8</v>
      </c>
      <c r="B6" s="38" t="s">
        <v>9</v>
      </c>
      <c r="C6" s="43">
        <f>DATE(YearToDate!$B$3,2,1)</f>
        <v>45323</v>
      </c>
      <c r="D6" s="43">
        <f>C6+1</f>
        <v>45324</v>
      </c>
      <c r="E6" s="43">
        <f t="shared" ref="E6:AD6" si="0">D6+1</f>
        <v>45325</v>
      </c>
      <c r="F6" s="43">
        <f t="shared" si="0"/>
        <v>45326</v>
      </c>
      <c r="G6" s="43">
        <f>F6+1</f>
        <v>45327</v>
      </c>
      <c r="H6" s="43">
        <f t="shared" si="0"/>
        <v>45328</v>
      </c>
      <c r="I6" s="43">
        <f t="shared" si="0"/>
        <v>45329</v>
      </c>
      <c r="J6" s="43">
        <f t="shared" si="0"/>
        <v>45330</v>
      </c>
      <c r="K6" s="43">
        <f t="shared" si="0"/>
        <v>45331</v>
      </c>
      <c r="L6" s="43">
        <f t="shared" si="0"/>
        <v>45332</v>
      </c>
      <c r="M6" s="43">
        <f t="shared" si="0"/>
        <v>45333</v>
      </c>
      <c r="N6" s="43">
        <f t="shared" si="0"/>
        <v>45334</v>
      </c>
      <c r="O6" s="43">
        <f t="shared" si="0"/>
        <v>45335</v>
      </c>
      <c r="P6" s="43">
        <f t="shared" si="0"/>
        <v>45336</v>
      </c>
      <c r="Q6" s="43">
        <f t="shared" si="0"/>
        <v>45337</v>
      </c>
      <c r="R6" s="43">
        <f t="shared" si="0"/>
        <v>45338</v>
      </c>
      <c r="S6" s="43">
        <f t="shared" si="0"/>
        <v>45339</v>
      </c>
      <c r="T6" s="43">
        <f t="shared" si="0"/>
        <v>45340</v>
      </c>
      <c r="U6" s="43">
        <f t="shared" si="0"/>
        <v>45341</v>
      </c>
      <c r="V6" s="43">
        <f t="shared" si="0"/>
        <v>45342</v>
      </c>
      <c r="W6" s="43">
        <f t="shared" si="0"/>
        <v>45343</v>
      </c>
      <c r="X6" s="43">
        <f t="shared" si="0"/>
        <v>45344</v>
      </c>
      <c r="Y6" s="43">
        <f t="shared" si="0"/>
        <v>45345</v>
      </c>
      <c r="Z6" s="43">
        <f t="shared" si="0"/>
        <v>45346</v>
      </c>
      <c r="AA6" s="43">
        <f t="shared" si="0"/>
        <v>45347</v>
      </c>
      <c r="AB6" s="43">
        <f t="shared" si="0"/>
        <v>45348</v>
      </c>
      <c r="AC6" s="43">
        <f t="shared" si="0"/>
        <v>45349</v>
      </c>
      <c r="AD6" s="43">
        <f t="shared" si="0"/>
        <v>45350</v>
      </c>
      <c r="AE6" s="43">
        <f>IF(MONTH($AD6+1)&gt;MONTH($C$6),"",$AD6+1)</f>
        <v>45351</v>
      </c>
      <c r="AF6" s="43" t="str">
        <f>IF(MONTH($AD6+2)&gt;MONTH($C$6),"",$AD6+2)</f>
        <v/>
      </c>
      <c r="AG6" s="43" t="str">
        <f>IF(MONTH($AD6+3)&gt;MONTH($C$6),"",$AD6+3)</f>
        <v/>
      </c>
      <c r="AH6" s="31" t="str">
        <f>YearToDate!C9</f>
        <v>A</v>
      </c>
      <c r="AI6" s="31" t="str">
        <f>YearToDate!E9</f>
        <v>S</v>
      </c>
      <c r="AJ6" s="31" t="str">
        <f>YearToDate!G9</f>
        <v>M</v>
      </c>
      <c r="AK6" s="31" t="str">
        <f>YearToDate!I9</f>
        <v>CM</v>
      </c>
      <c r="AL6" s="31" t="str">
        <f>YearToDate!K9</f>
        <v>T</v>
      </c>
      <c r="AM6" s="31" t="str">
        <f>YearToDate!M9</f>
        <v>ST</v>
      </c>
      <c r="AN6" s="31" t="str">
        <f>YearToDate!O9</f>
        <v>E</v>
      </c>
      <c r="AO6" s="31" t="str">
        <f>YearToDate!Q9</f>
        <v>CA</v>
      </c>
    </row>
    <row r="7" spans="1:41" ht="16.5" customHeight="1" x14ac:dyDescent="0.25">
      <c r="A7" s="39">
        <f>YearToDate!A10</f>
        <v>1</v>
      </c>
      <c r="B7" s="40" t="str">
        <f>VLOOKUP(A7,YearToDate!$A$9:$B$34,2,0)</f>
        <v>AHMAN ABDULJABBAR</v>
      </c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47">
        <f>COUNTIF($C7:$AG7,AH$6)+0.5*COUNTIF($C7:$AG7,AH$6&amp;"H")+0.5*COUNTIF($C7:$AG7,"H"&amp;AH$6)</f>
        <v>0</v>
      </c>
      <c r="AI7" s="47">
        <f t="shared" ref="AI7:AO14" si="1">COUNTIF($C7:$AG7,AI$6)+0.5*COUNTIF($C7:$AG7,AI$6&amp;"H")+0.5*COUNTIF($C7:$AG7,"H"&amp;AI$6)</f>
        <v>0</v>
      </c>
      <c r="AJ7" s="47">
        <f t="shared" si="1"/>
        <v>0</v>
      </c>
      <c r="AK7" s="47">
        <f t="shared" si="1"/>
        <v>0</v>
      </c>
      <c r="AL7" s="47">
        <f t="shared" si="1"/>
        <v>0</v>
      </c>
      <c r="AM7" s="47">
        <f t="shared" si="1"/>
        <v>0</v>
      </c>
      <c r="AN7" s="47">
        <f t="shared" si="1"/>
        <v>0</v>
      </c>
      <c r="AO7" s="47">
        <f t="shared" si="1"/>
        <v>0</v>
      </c>
    </row>
    <row r="8" spans="1:41" ht="16.5" customHeight="1" x14ac:dyDescent="0.25">
      <c r="A8" s="39">
        <f>YearToDate!A11</f>
        <v>2</v>
      </c>
      <c r="B8" s="40" t="str">
        <f>VLOOKUP(A8,YearToDate!$A$9:$B$34,2,0)</f>
        <v>ALIYU MUSA ABUBAKAR</v>
      </c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47">
        <f t="shared" ref="AH8:AO26" si="2">COUNTIF($C8:$AG8,AH$6)+0.5*COUNTIF($C8:$AG8,AH$6&amp;"H")+0.5*COUNTIF($C8:$AG8,"H"&amp;AH$6)</f>
        <v>0</v>
      </c>
      <c r="AI8" s="47">
        <f t="shared" si="1"/>
        <v>0</v>
      </c>
      <c r="AJ8" s="47">
        <f t="shared" si="1"/>
        <v>0</v>
      </c>
      <c r="AK8" s="47">
        <f t="shared" si="1"/>
        <v>0</v>
      </c>
      <c r="AL8" s="47">
        <f t="shared" si="1"/>
        <v>0</v>
      </c>
      <c r="AM8" s="47">
        <f t="shared" si="1"/>
        <v>0</v>
      </c>
      <c r="AN8" s="47">
        <f t="shared" si="1"/>
        <v>0</v>
      </c>
      <c r="AO8" s="47">
        <f t="shared" si="1"/>
        <v>0</v>
      </c>
    </row>
    <row r="9" spans="1:41" ht="16.5" customHeight="1" x14ac:dyDescent="0.25">
      <c r="A9" s="39">
        <f>YearToDate!A12</f>
        <v>3</v>
      </c>
      <c r="B9" s="40" t="str">
        <f>VLOOKUP(A9,YearToDate!$A$9:$B$34,2,0)</f>
        <v>GOSTA ALIYU</v>
      </c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47">
        <f t="shared" si="2"/>
        <v>0</v>
      </c>
      <c r="AI9" s="47">
        <f t="shared" si="1"/>
        <v>0</v>
      </c>
      <c r="AJ9" s="47">
        <f t="shared" si="1"/>
        <v>0</v>
      </c>
      <c r="AK9" s="47">
        <f t="shared" si="1"/>
        <v>0</v>
      </c>
      <c r="AL9" s="47">
        <f t="shared" si="1"/>
        <v>0</v>
      </c>
      <c r="AM9" s="47">
        <f t="shared" si="1"/>
        <v>0</v>
      </c>
      <c r="AN9" s="47">
        <f t="shared" si="1"/>
        <v>0</v>
      </c>
      <c r="AO9" s="47">
        <f t="shared" si="1"/>
        <v>0</v>
      </c>
    </row>
    <row r="10" spans="1:41" ht="16.5" customHeight="1" x14ac:dyDescent="0.25">
      <c r="A10" s="39">
        <f>YearToDate!A13</f>
        <v>4</v>
      </c>
      <c r="B10" s="40" t="str">
        <f>VLOOKUP(A10,YearToDate!$A$9:$B$34,2,0)</f>
        <v>IBRAHIM TUKURA RILWAN</v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47">
        <f t="shared" si="2"/>
        <v>0</v>
      </c>
      <c r="AI10" s="47">
        <f t="shared" si="1"/>
        <v>0</v>
      </c>
      <c r="AJ10" s="47">
        <f t="shared" si="1"/>
        <v>0</v>
      </c>
      <c r="AK10" s="47">
        <f t="shared" si="1"/>
        <v>0</v>
      </c>
      <c r="AL10" s="47">
        <f t="shared" si="1"/>
        <v>0</v>
      </c>
      <c r="AM10" s="47">
        <f t="shared" si="1"/>
        <v>0</v>
      </c>
      <c r="AN10" s="47">
        <f t="shared" si="1"/>
        <v>0</v>
      </c>
      <c r="AO10" s="47">
        <f t="shared" si="1"/>
        <v>0</v>
      </c>
    </row>
    <row r="11" spans="1:41" ht="16.5" customHeight="1" x14ac:dyDescent="0.25">
      <c r="A11" s="39">
        <f>YearToDate!A14</f>
        <v>5</v>
      </c>
      <c r="B11" s="40" t="str">
        <f>VLOOKUP(A11,YearToDate!$A$9:$B$34,2,0)</f>
        <v>HASSAN HABEEB</v>
      </c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47">
        <f t="shared" si="2"/>
        <v>0</v>
      </c>
      <c r="AI11" s="47">
        <f t="shared" si="1"/>
        <v>0</v>
      </c>
      <c r="AJ11" s="47">
        <f t="shared" si="1"/>
        <v>0</v>
      </c>
      <c r="AK11" s="47">
        <f t="shared" si="1"/>
        <v>0</v>
      </c>
      <c r="AL11" s="47">
        <f t="shared" si="1"/>
        <v>0</v>
      </c>
      <c r="AM11" s="47">
        <f t="shared" si="1"/>
        <v>0</v>
      </c>
      <c r="AN11" s="47">
        <f t="shared" si="1"/>
        <v>0</v>
      </c>
      <c r="AO11" s="47">
        <f t="shared" si="1"/>
        <v>0</v>
      </c>
    </row>
    <row r="12" spans="1:41" ht="16.5" customHeight="1" x14ac:dyDescent="0.25">
      <c r="A12" s="39">
        <f>YearToDate!A15</f>
        <v>6</v>
      </c>
      <c r="B12" s="40" t="str">
        <f>VLOOKUP(A12,YearToDate!$A$9:$B$34,2,0)</f>
        <v>SHEHU NABILA</v>
      </c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47">
        <f t="shared" si="2"/>
        <v>0</v>
      </c>
      <c r="AI12" s="47">
        <f t="shared" si="1"/>
        <v>0</v>
      </c>
      <c r="AJ12" s="47">
        <f t="shared" si="1"/>
        <v>0</v>
      </c>
      <c r="AK12" s="47">
        <f t="shared" si="1"/>
        <v>0</v>
      </c>
      <c r="AL12" s="47">
        <f t="shared" si="1"/>
        <v>0</v>
      </c>
      <c r="AM12" s="47">
        <f t="shared" si="1"/>
        <v>0</v>
      </c>
      <c r="AN12" s="47">
        <f t="shared" si="1"/>
        <v>0</v>
      </c>
      <c r="AO12" s="47">
        <f t="shared" si="1"/>
        <v>0</v>
      </c>
    </row>
    <row r="13" spans="1:41" ht="16.5" customHeight="1" x14ac:dyDescent="0.25">
      <c r="A13" s="39">
        <f>YearToDate!A16</f>
        <v>7</v>
      </c>
      <c r="B13" s="40" t="str">
        <f>VLOOKUP(A13,YearToDate!$A$9:$B$34,2,0)</f>
        <v>SULEMAN IBRAHIM</v>
      </c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47">
        <f t="shared" si="2"/>
        <v>0</v>
      </c>
      <c r="AI13" s="47">
        <f t="shared" si="1"/>
        <v>0</v>
      </c>
      <c r="AJ13" s="47">
        <f t="shared" si="1"/>
        <v>0</v>
      </c>
      <c r="AK13" s="47">
        <f t="shared" si="1"/>
        <v>0</v>
      </c>
      <c r="AL13" s="47">
        <f t="shared" si="1"/>
        <v>0</v>
      </c>
      <c r="AM13" s="47">
        <f t="shared" si="1"/>
        <v>0</v>
      </c>
      <c r="AN13" s="47">
        <f t="shared" si="1"/>
        <v>0</v>
      </c>
      <c r="AO13" s="47">
        <f t="shared" si="1"/>
        <v>0</v>
      </c>
    </row>
    <row r="14" spans="1:41" ht="16.5" customHeight="1" x14ac:dyDescent="0.25">
      <c r="A14" s="39">
        <f>YearToDate!A17</f>
        <v>8</v>
      </c>
      <c r="B14" s="40" t="str">
        <f>VLOOKUP(A14,YearToDate!$A$9:$B$34,2,0)</f>
        <v>EMMANUELA LONGJAP</v>
      </c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47">
        <f t="shared" si="2"/>
        <v>0</v>
      </c>
      <c r="AI14" s="47">
        <f t="shared" si="1"/>
        <v>0</v>
      </c>
      <c r="AJ14" s="47">
        <f t="shared" si="1"/>
        <v>0</v>
      </c>
      <c r="AK14" s="47">
        <f t="shared" si="1"/>
        <v>0</v>
      </c>
      <c r="AL14" s="47">
        <f t="shared" si="1"/>
        <v>0</v>
      </c>
      <c r="AM14" s="47">
        <f t="shared" si="1"/>
        <v>0</v>
      </c>
      <c r="AN14" s="47">
        <f t="shared" si="1"/>
        <v>0</v>
      </c>
      <c r="AO14" s="47">
        <f t="shared" si="1"/>
        <v>0</v>
      </c>
    </row>
    <row r="15" spans="1:41" ht="16.5" customHeight="1" x14ac:dyDescent="0.25">
      <c r="A15" s="39">
        <f>YearToDate!A18</f>
        <v>9</v>
      </c>
      <c r="B15" s="40" t="str">
        <f>VLOOKUP(A15,YearToDate!$A$9:$B$34,2,0)</f>
        <v xml:space="preserve">OLUCHI EZE 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47">
        <f t="shared" si="2"/>
        <v>0</v>
      </c>
      <c r="AI15" s="47">
        <f t="shared" si="2"/>
        <v>0</v>
      </c>
      <c r="AJ15" s="47">
        <f t="shared" si="2"/>
        <v>0</v>
      </c>
      <c r="AK15" s="47">
        <f t="shared" si="2"/>
        <v>0</v>
      </c>
      <c r="AL15" s="47">
        <f t="shared" si="2"/>
        <v>0</v>
      </c>
      <c r="AM15" s="47">
        <f t="shared" si="2"/>
        <v>0</v>
      </c>
      <c r="AN15" s="47">
        <f t="shared" si="2"/>
        <v>0</v>
      </c>
      <c r="AO15" s="47">
        <f t="shared" si="2"/>
        <v>0</v>
      </c>
    </row>
    <row r="16" spans="1:41" ht="16.5" customHeight="1" x14ac:dyDescent="0.25">
      <c r="A16" s="39">
        <f>YearToDate!A19</f>
        <v>10</v>
      </c>
      <c r="B16" s="40" t="str">
        <f>VLOOKUP(A16,YearToDate!$A$9:$B$34,2,0)</f>
        <v>NURA ABDULLAHI</v>
      </c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47">
        <f t="shared" si="2"/>
        <v>0</v>
      </c>
      <c r="AI16" s="47">
        <f t="shared" si="2"/>
        <v>0</v>
      </c>
      <c r="AJ16" s="47">
        <f t="shared" si="2"/>
        <v>0</v>
      </c>
      <c r="AK16" s="47">
        <f t="shared" si="2"/>
        <v>0</v>
      </c>
      <c r="AL16" s="47">
        <f t="shared" si="2"/>
        <v>0</v>
      </c>
      <c r="AM16" s="47">
        <f t="shared" si="2"/>
        <v>0</v>
      </c>
      <c r="AN16" s="47">
        <f t="shared" si="2"/>
        <v>0</v>
      </c>
      <c r="AO16" s="47">
        <f t="shared" si="2"/>
        <v>0</v>
      </c>
    </row>
    <row r="17" spans="1:41" ht="16.5" customHeight="1" x14ac:dyDescent="0.25">
      <c r="A17" s="39">
        <f>YearToDate!A20</f>
        <v>11</v>
      </c>
      <c r="B17" s="40" t="str">
        <f>VLOOKUP(A17,YearToDate!$A$9:$B$34,2,0)</f>
        <v>VERA EGELAMBA EZINNE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47">
        <f t="shared" si="2"/>
        <v>0</v>
      </c>
      <c r="AI17" s="47">
        <f t="shared" si="2"/>
        <v>0</v>
      </c>
      <c r="AJ17" s="47">
        <f t="shared" si="2"/>
        <v>0</v>
      </c>
      <c r="AK17" s="47">
        <f t="shared" si="2"/>
        <v>0</v>
      </c>
      <c r="AL17" s="47">
        <f t="shared" si="2"/>
        <v>0</v>
      </c>
      <c r="AM17" s="47">
        <f t="shared" si="2"/>
        <v>0</v>
      </c>
      <c r="AN17" s="47">
        <f t="shared" si="2"/>
        <v>0</v>
      </c>
      <c r="AO17" s="47">
        <f t="shared" si="2"/>
        <v>0</v>
      </c>
    </row>
    <row r="18" spans="1:41" ht="16.5" customHeight="1" x14ac:dyDescent="0.25">
      <c r="A18" s="39">
        <f>YearToDate!A21</f>
        <v>18</v>
      </c>
      <c r="B18" s="40" t="str">
        <f>VLOOKUP(A18,YearToDate!$A$9:$B$34,2,0)</f>
        <v>NAIMA LABARAN DABO</v>
      </c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47">
        <f t="shared" si="2"/>
        <v>0</v>
      </c>
      <c r="AI18" s="47">
        <f t="shared" si="2"/>
        <v>0</v>
      </c>
      <c r="AJ18" s="47">
        <f t="shared" si="2"/>
        <v>0</v>
      </c>
      <c r="AK18" s="47">
        <f t="shared" si="2"/>
        <v>0</v>
      </c>
      <c r="AL18" s="47">
        <f t="shared" si="2"/>
        <v>0</v>
      </c>
      <c r="AM18" s="47">
        <f t="shared" si="2"/>
        <v>0</v>
      </c>
      <c r="AN18" s="47">
        <f t="shared" si="2"/>
        <v>0</v>
      </c>
      <c r="AO18" s="47">
        <f t="shared" si="2"/>
        <v>0</v>
      </c>
    </row>
    <row r="19" spans="1:41" ht="16.5" customHeight="1" x14ac:dyDescent="0.25">
      <c r="A19" s="39">
        <f>YearToDate!A22</f>
        <v>19</v>
      </c>
      <c r="B19" s="40">
        <f>VLOOKUP(A19,YearToDate!$A$9:$B$34,2,0)</f>
        <v>0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47">
        <f t="shared" si="2"/>
        <v>0</v>
      </c>
      <c r="AI19" s="47">
        <f t="shared" si="2"/>
        <v>0</v>
      </c>
      <c r="AJ19" s="47">
        <f t="shared" si="2"/>
        <v>0</v>
      </c>
      <c r="AK19" s="47">
        <f t="shared" si="2"/>
        <v>0</v>
      </c>
      <c r="AL19" s="47">
        <f t="shared" si="2"/>
        <v>0</v>
      </c>
      <c r="AM19" s="47">
        <f t="shared" si="2"/>
        <v>0</v>
      </c>
      <c r="AN19" s="47">
        <f t="shared" si="2"/>
        <v>0</v>
      </c>
      <c r="AO19" s="47">
        <f t="shared" si="2"/>
        <v>0</v>
      </c>
    </row>
    <row r="20" spans="1:41" ht="16.5" customHeight="1" x14ac:dyDescent="0.25">
      <c r="A20" s="39">
        <f>YearToDate!A23</f>
        <v>20</v>
      </c>
      <c r="B20" s="40">
        <f>VLOOKUP(A20,YearToDate!$A$9:$B$34,2,0)</f>
        <v>0</v>
      </c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47">
        <f t="shared" si="2"/>
        <v>0</v>
      </c>
      <c r="AI20" s="47">
        <f t="shared" si="2"/>
        <v>0</v>
      </c>
      <c r="AJ20" s="47">
        <f t="shared" si="2"/>
        <v>0</v>
      </c>
      <c r="AK20" s="47">
        <f t="shared" si="2"/>
        <v>0</v>
      </c>
      <c r="AL20" s="47">
        <f t="shared" si="2"/>
        <v>0</v>
      </c>
      <c r="AM20" s="47">
        <f t="shared" si="2"/>
        <v>0</v>
      </c>
      <c r="AN20" s="47">
        <f t="shared" si="2"/>
        <v>0</v>
      </c>
      <c r="AO20" s="47">
        <f t="shared" si="2"/>
        <v>0</v>
      </c>
    </row>
    <row r="21" spans="1:41" ht="16.5" customHeight="1" x14ac:dyDescent="0.25">
      <c r="A21" s="39">
        <f>YearToDate!A24</f>
        <v>21</v>
      </c>
      <c r="B21" s="40">
        <f>VLOOKUP(A21,YearToDate!$A$9:$B$34,2,0)</f>
        <v>0</v>
      </c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47">
        <f t="shared" si="2"/>
        <v>0</v>
      </c>
      <c r="AI21" s="47">
        <f t="shared" si="2"/>
        <v>0</v>
      </c>
      <c r="AJ21" s="47">
        <f t="shared" si="2"/>
        <v>0</v>
      </c>
      <c r="AK21" s="47">
        <f t="shared" si="2"/>
        <v>0</v>
      </c>
      <c r="AL21" s="47">
        <f t="shared" si="2"/>
        <v>0</v>
      </c>
      <c r="AM21" s="47">
        <f t="shared" si="2"/>
        <v>0</v>
      </c>
      <c r="AN21" s="47">
        <f t="shared" si="2"/>
        <v>0</v>
      </c>
      <c r="AO21" s="47">
        <f t="shared" si="2"/>
        <v>0</v>
      </c>
    </row>
    <row r="22" spans="1:41" ht="16.5" customHeight="1" x14ac:dyDescent="0.25">
      <c r="A22" s="39">
        <f>YearToDate!A25</f>
        <v>22</v>
      </c>
      <c r="B22" s="40">
        <f>VLOOKUP(A22,YearToDate!$A$9:$B$34,2,0)</f>
        <v>0</v>
      </c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47">
        <f t="shared" si="2"/>
        <v>0</v>
      </c>
      <c r="AI22" s="47">
        <f t="shared" si="2"/>
        <v>0</v>
      </c>
      <c r="AJ22" s="47">
        <f t="shared" si="2"/>
        <v>0</v>
      </c>
      <c r="AK22" s="47">
        <f t="shared" si="2"/>
        <v>0</v>
      </c>
      <c r="AL22" s="47">
        <f t="shared" si="2"/>
        <v>0</v>
      </c>
      <c r="AM22" s="47">
        <f t="shared" si="2"/>
        <v>0</v>
      </c>
      <c r="AN22" s="47">
        <f t="shared" si="2"/>
        <v>0</v>
      </c>
      <c r="AO22" s="47">
        <f t="shared" si="2"/>
        <v>0</v>
      </c>
    </row>
    <row r="23" spans="1:41" ht="16.5" customHeight="1" x14ac:dyDescent="0.25">
      <c r="A23" s="39">
        <f>YearToDate!A26</f>
        <v>23</v>
      </c>
      <c r="B23" s="40">
        <f>VLOOKUP(A23,YearToDate!$A$9:$B$34,2,0)</f>
        <v>0</v>
      </c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47">
        <f t="shared" si="2"/>
        <v>0</v>
      </c>
      <c r="AI23" s="47">
        <f t="shared" si="2"/>
        <v>0</v>
      </c>
      <c r="AJ23" s="47">
        <f t="shared" si="2"/>
        <v>0</v>
      </c>
      <c r="AK23" s="47">
        <f t="shared" si="2"/>
        <v>0</v>
      </c>
      <c r="AL23" s="47">
        <f t="shared" si="2"/>
        <v>0</v>
      </c>
      <c r="AM23" s="47">
        <f t="shared" si="2"/>
        <v>0</v>
      </c>
      <c r="AN23" s="47">
        <f t="shared" si="2"/>
        <v>0</v>
      </c>
      <c r="AO23" s="47">
        <f t="shared" si="2"/>
        <v>0</v>
      </c>
    </row>
    <row r="24" spans="1:41" ht="16.5" customHeight="1" x14ac:dyDescent="0.25">
      <c r="A24" s="39">
        <f>YearToDate!A27</f>
        <v>24</v>
      </c>
      <c r="B24" s="40">
        <f>VLOOKUP(A24,YearToDate!$A$9:$B$34,2,0)</f>
        <v>0</v>
      </c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47">
        <f t="shared" si="2"/>
        <v>0</v>
      </c>
      <c r="AI24" s="47">
        <f t="shared" si="2"/>
        <v>0</v>
      </c>
      <c r="AJ24" s="47">
        <f t="shared" si="2"/>
        <v>0</v>
      </c>
      <c r="AK24" s="47">
        <f t="shared" si="2"/>
        <v>0</v>
      </c>
      <c r="AL24" s="47">
        <f t="shared" si="2"/>
        <v>0</v>
      </c>
      <c r="AM24" s="47">
        <f t="shared" si="2"/>
        <v>0</v>
      </c>
      <c r="AN24" s="47">
        <f t="shared" si="2"/>
        <v>0</v>
      </c>
      <c r="AO24" s="47">
        <f t="shared" si="2"/>
        <v>0</v>
      </c>
    </row>
    <row r="25" spans="1:41" ht="16.5" customHeight="1" x14ac:dyDescent="0.25">
      <c r="A25" s="39">
        <f>YearToDate!A28</f>
        <v>25</v>
      </c>
      <c r="B25" s="40">
        <f>VLOOKUP(A25,YearToDate!$A$9:$B$34,2,0)</f>
        <v>0</v>
      </c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47">
        <f t="shared" si="2"/>
        <v>0</v>
      </c>
      <c r="AI25" s="47">
        <f t="shared" si="2"/>
        <v>0</v>
      </c>
      <c r="AJ25" s="47">
        <f t="shared" si="2"/>
        <v>0</v>
      </c>
      <c r="AK25" s="47">
        <f t="shared" si="2"/>
        <v>0</v>
      </c>
      <c r="AL25" s="47">
        <f t="shared" si="2"/>
        <v>0</v>
      </c>
      <c r="AM25" s="47">
        <f t="shared" si="2"/>
        <v>0</v>
      </c>
      <c r="AN25" s="47">
        <f t="shared" si="2"/>
        <v>0</v>
      </c>
      <c r="AO25" s="47">
        <f t="shared" si="2"/>
        <v>0</v>
      </c>
    </row>
    <row r="26" spans="1:41" ht="16.5" customHeight="1" x14ac:dyDescent="0.25">
      <c r="A26" s="39">
        <f>YearToDate!A29</f>
        <v>26</v>
      </c>
      <c r="B26" s="40">
        <f>VLOOKUP(A26,YearToDate!$A$9:$B$34,2,0)</f>
        <v>0</v>
      </c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47">
        <f t="shared" si="2"/>
        <v>0</v>
      </c>
      <c r="AI26" s="47">
        <f t="shared" si="2"/>
        <v>0</v>
      </c>
      <c r="AJ26" s="47">
        <f t="shared" si="2"/>
        <v>0</v>
      </c>
      <c r="AK26" s="47">
        <f t="shared" si="2"/>
        <v>0</v>
      </c>
      <c r="AL26" s="47">
        <f t="shared" si="2"/>
        <v>0</v>
      </c>
      <c r="AM26" s="47">
        <f t="shared" si="2"/>
        <v>0</v>
      </c>
      <c r="AN26" s="47">
        <f t="shared" si="2"/>
        <v>0</v>
      </c>
      <c r="AO26" s="47">
        <f t="shared" si="2"/>
        <v>0</v>
      </c>
    </row>
    <row r="27" spans="1:41" s="28" customFormat="1" ht="16.5" customHeight="1" x14ac:dyDescent="0.25">
      <c r="A27" s="32"/>
      <c r="B27" s="33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48"/>
      <c r="AI27" s="48"/>
      <c r="AJ27" s="48"/>
      <c r="AK27" s="48"/>
      <c r="AL27" s="48"/>
      <c r="AM27" s="48"/>
      <c r="AN27" s="48"/>
      <c r="AO27" s="48"/>
    </row>
    <row r="28" spans="1:41" ht="16.5" customHeight="1" x14ac:dyDescent="0.25">
      <c r="A28" s="29" t="str">
        <f>HYPERLINK("https://www.vertex42.com/templates/employee-leave-tracker.html","https://www.vertex42.com/templates/employee-leave-tracker.html")</f>
        <v>https://www.vertex42.com/templates/employee-leave-tracker.html</v>
      </c>
      <c r="B28" s="35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AG28" s="37" t="s">
        <v>40</v>
      </c>
      <c r="AH28" s="49">
        <f>SUM(AH7:AH27)</f>
        <v>0</v>
      </c>
      <c r="AI28" s="49">
        <f>SUM(AI7:AI27)</f>
        <v>0</v>
      </c>
      <c r="AJ28" s="49">
        <f>SUM(AJ7:AJ27)</f>
        <v>0</v>
      </c>
      <c r="AK28" s="49">
        <f>SUM(AK7:AK27)</f>
        <v>0</v>
      </c>
      <c r="AL28" s="49">
        <f>SUM(AL7:AL27)</f>
        <v>0</v>
      </c>
      <c r="AM28" s="49">
        <f t="shared" ref="AM28:AN28" si="3">SUM(AM7:AM27)</f>
        <v>0</v>
      </c>
      <c r="AN28" s="49">
        <f t="shared" si="3"/>
        <v>0</v>
      </c>
      <c r="AO28" s="49">
        <f>SUM(AO7:AO27)</f>
        <v>0</v>
      </c>
    </row>
    <row r="29" spans="1:41" x14ac:dyDescent="0.25">
      <c r="A29" s="73"/>
      <c r="B29" s="73"/>
    </row>
  </sheetData>
  <mergeCells count="3">
    <mergeCell ref="A29:B29"/>
    <mergeCell ref="C4:AG4"/>
    <mergeCell ref="AH4:AO4"/>
  </mergeCells>
  <conditionalFormatting sqref="C6:AG6">
    <cfRule type="expression" dxfId="55" priority="2" stopIfTrue="1">
      <formula>OR(WEEKDAY(C$6,1)=1,WEEKDAY(C$6,1)=7)</formula>
    </cfRule>
    <cfRule type="cellIs" dxfId="54" priority="3" stopIfTrue="1" operator="equal">
      <formula>""</formula>
    </cfRule>
  </conditionalFormatting>
  <conditionalFormatting sqref="C7:AG26">
    <cfRule type="expression" dxfId="53" priority="4" stopIfTrue="1">
      <formula>OR(WEEKDAY(C$6)=1,WEEKDAY(C$6)=7)</formula>
    </cfRule>
    <cfRule type="expression" dxfId="52" priority="5" stopIfTrue="1">
      <formula>C$6=""</formula>
    </cfRule>
  </conditionalFormatting>
  <dataValidations count="1">
    <dataValidation type="list" allowBlank="1" sqref="C7:AG26">
      <formula1>$AH$6:$AO$6</formula1>
    </dataValidation>
  </dataValidations>
  <printOptions horizontalCentered="1"/>
  <pageMargins left="0.25" right="0.25" top="0.25" bottom="0.25" header="0.5" footer="0.5"/>
  <pageSetup scale="9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O32"/>
  <sheetViews>
    <sheetView showGridLines="0" topLeftCell="A4" zoomScale="90" zoomScaleNormal="90" workbookViewId="0">
      <selection activeCell="E8" sqref="E8:I12"/>
    </sheetView>
  </sheetViews>
  <sheetFormatPr defaultColWidth="9.1796875" defaultRowHeight="12.5" x14ac:dyDescent="0.25"/>
  <cols>
    <col min="1" max="1" width="5.453125" style="18" customWidth="1"/>
    <col min="2" max="2" width="24.54296875" style="18" customWidth="1"/>
    <col min="3" max="33" width="3.26953125" style="18" customWidth="1"/>
    <col min="34" max="41" width="4.26953125" style="18" customWidth="1"/>
    <col min="42" max="16384" width="9.1796875" style="18"/>
  </cols>
  <sheetData>
    <row r="1" spans="1:41" ht="26.25" customHeight="1" x14ac:dyDescent="0.25">
      <c r="A1" s="17" t="str">
        <f>"March "&amp;YearToDate!$B$3</f>
        <v>March 2024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26" t="s">
        <v>0</v>
      </c>
    </row>
    <row r="2" spans="1:41" x14ac:dyDescent="0.25">
      <c r="AO2" s="27" t="s">
        <v>39</v>
      </c>
    </row>
    <row r="4" spans="1:41" ht="22" customHeight="1" x14ac:dyDescent="0.25">
      <c r="A4" s="60" t="s">
        <v>6</v>
      </c>
      <c r="B4" s="61"/>
      <c r="C4" s="74" t="str">
        <f>YearToDate!$A$5</f>
        <v>A = Annual,  S = Sick, M = Maternity, CM = Compationate, T = Terminal leave, ST = Study, E = Examination, CA = Casual</v>
      </c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1" t="s">
        <v>36</v>
      </c>
      <c r="AI4" s="71"/>
      <c r="AJ4" s="71"/>
      <c r="AK4" s="71"/>
      <c r="AL4" s="71"/>
      <c r="AM4" s="71"/>
      <c r="AN4" s="71"/>
      <c r="AO4" s="71"/>
    </row>
    <row r="5" spans="1:41" ht="16.5" customHeight="1" x14ac:dyDescent="0.25">
      <c r="A5" s="58"/>
      <c r="B5" s="59"/>
      <c r="C5" s="30" t="str">
        <f>IF(C6="","",INDEX({"Su";"M";"Tu";"W";"Th";"F";"Sa"},WEEKDAY(C6,1)))</f>
        <v>F</v>
      </c>
      <c r="D5" s="30" t="str">
        <f>IF(D6="","",INDEX({"Su";"M";"Tu";"W";"Th";"F";"Sa"},WEEKDAY(D6,1)))</f>
        <v>Sa</v>
      </c>
      <c r="E5" s="30" t="str">
        <f>IF(E6="","",INDEX({"Su";"M";"Tu";"W";"Th";"F";"Sa"},WEEKDAY(E6,1)))</f>
        <v>Su</v>
      </c>
      <c r="F5" s="30" t="str">
        <f>IF(F6="","",INDEX({"Su";"M";"Tu";"W";"Th";"F";"Sa"},WEEKDAY(F6,1)))</f>
        <v>M</v>
      </c>
      <c r="G5" s="30" t="str">
        <f>IF(G6="","",INDEX({"Su";"M";"Tu";"W";"Th";"F";"Sa"},WEEKDAY(G6,1)))</f>
        <v>Tu</v>
      </c>
      <c r="H5" s="30" t="str">
        <f>IF(H6="","",INDEX({"Su";"M";"Tu";"W";"Th";"F";"Sa"},WEEKDAY(H6,1)))</f>
        <v>W</v>
      </c>
      <c r="I5" s="30" t="str">
        <f>IF(I6="","",INDEX({"Su";"M";"Tu";"W";"Th";"F";"Sa"},WEEKDAY(I6,1)))</f>
        <v>Th</v>
      </c>
      <c r="J5" s="30" t="str">
        <f>IF(J6="","",INDEX({"Su";"M";"Tu";"W";"Th";"F";"Sa"},WEEKDAY(J6,1)))</f>
        <v>F</v>
      </c>
      <c r="K5" s="30" t="str">
        <f>IF(K6="","",INDEX({"Su";"M";"Tu";"W";"Th";"F";"Sa"},WEEKDAY(K6,1)))</f>
        <v>Sa</v>
      </c>
      <c r="L5" s="30" t="str">
        <f>IF(L6="","",INDEX({"Su";"M";"Tu";"W";"Th";"F";"Sa"},WEEKDAY(L6,1)))</f>
        <v>Su</v>
      </c>
      <c r="M5" s="30" t="str">
        <f>IF(M6="","",INDEX({"Su";"M";"Tu";"W";"Th";"F";"Sa"},WEEKDAY(M6,1)))</f>
        <v>M</v>
      </c>
      <c r="N5" s="30" t="str">
        <f>IF(N6="","",INDEX({"Su";"M";"Tu";"W";"Th";"F";"Sa"},WEEKDAY(N6,1)))</f>
        <v>Tu</v>
      </c>
      <c r="O5" s="30" t="str">
        <f>IF(O6="","",INDEX({"Su";"M";"Tu";"W";"Th";"F";"Sa"},WEEKDAY(O6,1)))</f>
        <v>W</v>
      </c>
      <c r="P5" s="30" t="str">
        <f>IF(P6="","",INDEX({"Su";"M";"Tu";"W";"Th";"F";"Sa"},WEEKDAY(P6,1)))</f>
        <v>Th</v>
      </c>
      <c r="Q5" s="30" t="str">
        <f>IF(Q6="","",INDEX({"Su";"M";"Tu";"W";"Th";"F";"Sa"},WEEKDAY(Q6,1)))</f>
        <v>F</v>
      </c>
      <c r="R5" s="30" t="str">
        <f>IF(R6="","",INDEX({"Su";"M";"Tu";"W";"Th";"F";"Sa"},WEEKDAY(R6,1)))</f>
        <v>Sa</v>
      </c>
      <c r="S5" s="30" t="str">
        <f>IF(S6="","",INDEX({"Su";"M";"Tu";"W";"Th";"F";"Sa"},WEEKDAY(S6,1)))</f>
        <v>Su</v>
      </c>
      <c r="T5" s="30" t="str">
        <f>IF(T6="","",INDEX({"Su";"M";"Tu";"W";"Th";"F";"Sa"},WEEKDAY(T6,1)))</f>
        <v>M</v>
      </c>
      <c r="U5" s="30" t="str">
        <f>IF(U6="","",INDEX({"Su";"M";"Tu";"W";"Th";"F";"Sa"},WEEKDAY(U6,1)))</f>
        <v>Tu</v>
      </c>
      <c r="V5" s="30" t="str">
        <f>IF(V6="","",INDEX({"Su";"M";"Tu";"W";"Th";"F";"Sa"},WEEKDAY(V6,1)))</f>
        <v>W</v>
      </c>
      <c r="W5" s="30" t="str">
        <f>IF(W6="","",INDEX({"Su";"M";"Tu";"W";"Th";"F";"Sa"},WEEKDAY(W6,1)))</f>
        <v>Th</v>
      </c>
      <c r="X5" s="30" t="str">
        <f>IF(X6="","",INDEX({"Su";"M";"Tu";"W";"Th";"F";"Sa"},WEEKDAY(X6,1)))</f>
        <v>F</v>
      </c>
      <c r="Y5" s="30" t="str">
        <f>IF(Y6="","",INDEX({"Su";"M";"Tu";"W";"Th";"F";"Sa"},WEEKDAY(Y6,1)))</f>
        <v>Sa</v>
      </c>
      <c r="Z5" s="30" t="str">
        <f>IF(Z6="","",INDEX({"Su";"M";"Tu";"W";"Th";"F";"Sa"},WEEKDAY(Z6,1)))</f>
        <v>Su</v>
      </c>
      <c r="AA5" s="30" t="str">
        <f>IF(AA6="","",INDEX({"Su";"M";"Tu";"W";"Th";"F";"Sa"},WEEKDAY(AA6,1)))</f>
        <v>M</v>
      </c>
      <c r="AB5" s="30" t="str">
        <f>IF(AB6="","",INDEX({"Su";"M";"Tu";"W";"Th";"F";"Sa"},WEEKDAY(AB6,1)))</f>
        <v>Tu</v>
      </c>
      <c r="AC5" s="30" t="str">
        <f>IF(AC6="","",INDEX({"Su";"M";"Tu";"W";"Th";"F";"Sa"},WEEKDAY(AC6,1)))</f>
        <v>W</v>
      </c>
      <c r="AD5" s="30" t="str">
        <f>IF(AD6="","",INDEX({"Su";"M";"Tu";"W";"Th";"F";"Sa"},WEEKDAY(AD6,1)))</f>
        <v>Th</v>
      </c>
      <c r="AE5" s="30" t="str">
        <f>IF(AE6="","",INDEX({"Su";"M";"Tu";"W";"Th";"F";"Sa"},WEEKDAY(AE6,1)))</f>
        <v>F</v>
      </c>
      <c r="AF5" s="30" t="str">
        <f>IF(AF6="","",INDEX({"Su";"M";"Tu";"W";"Th";"F";"Sa"},WEEKDAY(AF6,1)))</f>
        <v>Sa</v>
      </c>
      <c r="AG5" s="30" t="str">
        <f>IF(AG6="","",INDEX({"Su";"M";"Tu";"W";"Th";"F";"Sa"},WEEKDAY(AG6,1)))</f>
        <v>Su</v>
      </c>
      <c r="AH5" s="62"/>
      <c r="AI5" s="62"/>
      <c r="AJ5" s="62"/>
      <c r="AK5" s="62"/>
      <c r="AL5" s="62"/>
      <c r="AM5" s="62"/>
      <c r="AN5" s="62"/>
      <c r="AO5" s="62"/>
    </row>
    <row r="6" spans="1:41" ht="16.5" customHeight="1" x14ac:dyDescent="0.25">
      <c r="A6" s="45" t="s">
        <v>8</v>
      </c>
      <c r="B6" s="38" t="s">
        <v>9</v>
      </c>
      <c r="C6" s="43">
        <f>DATE(YearToDate!$B$3,3,1)</f>
        <v>45352</v>
      </c>
      <c r="D6" s="43">
        <f>C6+1</f>
        <v>45353</v>
      </c>
      <c r="E6" s="43">
        <f t="shared" ref="E6:AD6" si="0">D6+1</f>
        <v>45354</v>
      </c>
      <c r="F6" s="43">
        <f t="shared" si="0"/>
        <v>45355</v>
      </c>
      <c r="G6" s="43">
        <f>F6+1</f>
        <v>45356</v>
      </c>
      <c r="H6" s="43">
        <f t="shared" si="0"/>
        <v>45357</v>
      </c>
      <c r="I6" s="43">
        <f t="shared" si="0"/>
        <v>45358</v>
      </c>
      <c r="J6" s="43">
        <f t="shared" si="0"/>
        <v>45359</v>
      </c>
      <c r="K6" s="43">
        <f t="shared" si="0"/>
        <v>45360</v>
      </c>
      <c r="L6" s="43">
        <f t="shared" si="0"/>
        <v>45361</v>
      </c>
      <c r="M6" s="43">
        <f t="shared" si="0"/>
        <v>45362</v>
      </c>
      <c r="N6" s="43">
        <f t="shared" si="0"/>
        <v>45363</v>
      </c>
      <c r="O6" s="43">
        <f t="shared" si="0"/>
        <v>45364</v>
      </c>
      <c r="P6" s="43">
        <f t="shared" si="0"/>
        <v>45365</v>
      </c>
      <c r="Q6" s="43">
        <f t="shared" si="0"/>
        <v>45366</v>
      </c>
      <c r="R6" s="43">
        <f t="shared" si="0"/>
        <v>45367</v>
      </c>
      <c r="S6" s="43">
        <f t="shared" si="0"/>
        <v>45368</v>
      </c>
      <c r="T6" s="43">
        <f t="shared" si="0"/>
        <v>45369</v>
      </c>
      <c r="U6" s="43">
        <f t="shared" si="0"/>
        <v>45370</v>
      </c>
      <c r="V6" s="43">
        <f t="shared" si="0"/>
        <v>45371</v>
      </c>
      <c r="W6" s="43">
        <f t="shared" si="0"/>
        <v>45372</v>
      </c>
      <c r="X6" s="43">
        <f t="shared" si="0"/>
        <v>45373</v>
      </c>
      <c r="Y6" s="43">
        <f t="shared" si="0"/>
        <v>45374</v>
      </c>
      <c r="Z6" s="43">
        <f t="shared" si="0"/>
        <v>45375</v>
      </c>
      <c r="AA6" s="43">
        <f t="shared" si="0"/>
        <v>45376</v>
      </c>
      <c r="AB6" s="43">
        <f t="shared" si="0"/>
        <v>45377</v>
      </c>
      <c r="AC6" s="43">
        <f t="shared" si="0"/>
        <v>45378</v>
      </c>
      <c r="AD6" s="43">
        <f t="shared" si="0"/>
        <v>45379</v>
      </c>
      <c r="AE6" s="43">
        <f>IF(MONTH($AD6+1)&gt;MONTH($C$6),"",$AD6+1)</f>
        <v>45380</v>
      </c>
      <c r="AF6" s="43">
        <f>IF(MONTH($AD6+2)&gt;MONTH($C$6),"",$AD6+2)</f>
        <v>45381</v>
      </c>
      <c r="AG6" s="43">
        <f>IF(MONTH($AD6+3)&gt;MONTH($C$6),"",$AD6+3)</f>
        <v>45382</v>
      </c>
      <c r="AH6" s="31" t="str">
        <f>YearToDate!C9</f>
        <v>A</v>
      </c>
      <c r="AI6" s="31" t="str">
        <f>YearToDate!E9</f>
        <v>S</v>
      </c>
      <c r="AJ6" s="31" t="str">
        <f>YearToDate!G9</f>
        <v>M</v>
      </c>
      <c r="AK6" s="31" t="str">
        <f>YearToDate!I9</f>
        <v>CM</v>
      </c>
      <c r="AL6" s="31" t="str">
        <f>YearToDate!K9</f>
        <v>T</v>
      </c>
      <c r="AM6" s="31" t="str">
        <f>YearToDate!M9</f>
        <v>ST</v>
      </c>
      <c r="AN6" s="31" t="str">
        <f>YearToDate!O9</f>
        <v>E</v>
      </c>
      <c r="AO6" s="31" t="str">
        <f>YearToDate!Q9</f>
        <v>CA</v>
      </c>
    </row>
    <row r="7" spans="1:41" ht="16.5" customHeight="1" x14ac:dyDescent="0.25">
      <c r="A7" s="39">
        <f>YearToDate!A10</f>
        <v>1</v>
      </c>
      <c r="B7" s="40" t="str">
        <f>VLOOKUP(A7,YearToDate!$A$9:$B$34,2,0)</f>
        <v>AHMAN ABDULJABBAR</v>
      </c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47">
        <f>COUNTIF($C7:$AG7,AH$6)+0.5*COUNTIF($C7:$AG7,AH$6&amp;"H")+0.5*COUNTIF($C7:$AG7,"H"&amp;AH$6)</f>
        <v>0</v>
      </c>
      <c r="AI7" s="47">
        <f t="shared" ref="AI7:AO16" si="1">COUNTIF($C7:$AG7,AI$6)+0.5*COUNTIF($C7:$AG7,AI$6&amp;"H")+0.5*COUNTIF($C7:$AG7,"H"&amp;AI$6)</f>
        <v>0</v>
      </c>
      <c r="AJ7" s="47">
        <f t="shared" si="1"/>
        <v>0</v>
      </c>
      <c r="AK7" s="47">
        <f t="shared" si="1"/>
        <v>0</v>
      </c>
      <c r="AL7" s="47">
        <f t="shared" si="1"/>
        <v>0</v>
      </c>
      <c r="AM7" s="47">
        <f t="shared" si="1"/>
        <v>0</v>
      </c>
      <c r="AN7" s="47">
        <f t="shared" si="1"/>
        <v>0</v>
      </c>
      <c r="AO7" s="47">
        <f t="shared" si="1"/>
        <v>0</v>
      </c>
    </row>
    <row r="8" spans="1:41" ht="16.5" customHeight="1" x14ac:dyDescent="0.25">
      <c r="A8" s="39">
        <f>YearToDate!A11</f>
        <v>2</v>
      </c>
      <c r="B8" s="40" t="str">
        <f>VLOOKUP(A8,YearToDate!$A$9:$B$34,2,0)</f>
        <v>ALIYU MUSA ABUBAKAR</v>
      </c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47">
        <f t="shared" ref="AH8:AO29" si="2">COUNTIF($C8:$AG8,AH$6)+0.5*COUNTIF($C8:$AG8,AH$6&amp;"H")+0.5*COUNTIF($C8:$AG8,"H"&amp;AH$6)</f>
        <v>0</v>
      </c>
      <c r="AI8" s="47">
        <f t="shared" si="1"/>
        <v>0</v>
      </c>
      <c r="AJ8" s="47">
        <f t="shared" si="1"/>
        <v>0</v>
      </c>
      <c r="AK8" s="47">
        <f t="shared" si="1"/>
        <v>0</v>
      </c>
      <c r="AL8" s="47">
        <f t="shared" si="1"/>
        <v>0</v>
      </c>
      <c r="AM8" s="47">
        <f t="shared" si="1"/>
        <v>0</v>
      </c>
      <c r="AN8" s="47">
        <f t="shared" si="1"/>
        <v>0</v>
      </c>
      <c r="AO8" s="47">
        <f t="shared" si="1"/>
        <v>0</v>
      </c>
    </row>
    <row r="9" spans="1:41" ht="16.5" customHeight="1" x14ac:dyDescent="0.25">
      <c r="A9" s="39">
        <f>YearToDate!A12</f>
        <v>3</v>
      </c>
      <c r="B9" s="40" t="str">
        <f>VLOOKUP(A9,YearToDate!$A$9:$B$34,2,0)</f>
        <v>GOSTA ALIYU</v>
      </c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47">
        <f t="shared" si="2"/>
        <v>0</v>
      </c>
      <c r="AI9" s="47">
        <f t="shared" si="1"/>
        <v>0</v>
      </c>
      <c r="AJ9" s="47">
        <f t="shared" si="1"/>
        <v>0</v>
      </c>
      <c r="AK9" s="47">
        <f t="shared" si="1"/>
        <v>0</v>
      </c>
      <c r="AL9" s="47">
        <f t="shared" si="1"/>
        <v>0</v>
      </c>
      <c r="AM9" s="47">
        <f t="shared" si="1"/>
        <v>0</v>
      </c>
      <c r="AN9" s="47">
        <f t="shared" si="1"/>
        <v>0</v>
      </c>
      <c r="AO9" s="47">
        <f t="shared" si="1"/>
        <v>0</v>
      </c>
    </row>
    <row r="10" spans="1:41" ht="16.5" customHeight="1" x14ac:dyDescent="0.25">
      <c r="A10" s="39">
        <f>YearToDate!A13</f>
        <v>4</v>
      </c>
      <c r="B10" s="40" t="str">
        <f>VLOOKUP(A10,YearToDate!$A$9:$B$34,2,0)</f>
        <v>IBRAHIM TUKURA RILWAN</v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47">
        <f t="shared" si="2"/>
        <v>0</v>
      </c>
      <c r="AI10" s="47">
        <f t="shared" si="1"/>
        <v>0</v>
      </c>
      <c r="AJ10" s="47">
        <f t="shared" si="1"/>
        <v>0</v>
      </c>
      <c r="AK10" s="47">
        <f t="shared" si="1"/>
        <v>0</v>
      </c>
      <c r="AL10" s="47">
        <f t="shared" si="1"/>
        <v>0</v>
      </c>
      <c r="AM10" s="47">
        <f t="shared" si="1"/>
        <v>0</v>
      </c>
      <c r="AN10" s="47">
        <f t="shared" si="1"/>
        <v>0</v>
      </c>
      <c r="AO10" s="47">
        <f t="shared" si="1"/>
        <v>0</v>
      </c>
    </row>
    <row r="11" spans="1:41" ht="16.5" customHeight="1" x14ac:dyDescent="0.25">
      <c r="A11" s="39">
        <f>YearToDate!A14</f>
        <v>5</v>
      </c>
      <c r="B11" s="40" t="str">
        <f>VLOOKUP(A11,YearToDate!$A$9:$B$34,2,0)</f>
        <v>HASSAN HABEEB</v>
      </c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47">
        <f t="shared" si="2"/>
        <v>0</v>
      </c>
      <c r="AI11" s="47">
        <f t="shared" si="1"/>
        <v>0</v>
      </c>
      <c r="AJ11" s="47">
        <f t="shared" si="1"/>
        <v>0</v>
      </c>
      <c r="AK11" s="47">
        <f t="shared" si="1"/>
        <v>0</v>
      </c>
      <c r="AL11" s="47">
        <f t="shared" si="1"/>
        <v>0</v>
      </c>
      <c r="AM11" s="47">
        <f t="shared" si="1"/>
        <v>0</v>
      </c>
      <c r="AN11" s="47">
        <f t="shared" si="1"/>
        <v>0</v>
      </c>
      <c r="AO11" s="47">
        <f t="shared" si="1"/>
        <v>0</v>
      </c>
    </row>
    <row r="12" spans="1:41" ht="16.5" customHeight="1" x14ac:dyDescent="0.25">
      <c r="A12" s="39">
        <f>YearToDate!A15</f>
        <v>6</v>
      </c>
      <c r="B12" s="40" t="str">
        <f>VLOOKUP(A12,YearToDate!$A$9:$B$34,2,0)</f>
        <v>SHEHU NABILA</v>
      </c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47">
        <f t="shared" si="2"/>
        <v>0</v>
      </c>
      <c r="AI12" s="47">
        <f t="shared" si="1"/>
        <v>0</v>
      </c>
      <c r="AJ12" s="47">
        <f t="shared" si="1"/>
        <v>0</v>
      </c>
      <c r="AK12" s="47">
        <f t="shared" si="1"/>
        <v>0</v>
      </c>
      <c r="AL12" s="47">
        <f t="shared" si="1"/>
        <v>0</v>
      </c>
      <c r="AM12" s="47">
        <f t="shared" si="1"/>
        <v>0</v>
      </c>
      <c r="AN12" s="47">
        <f t="shared" si="1"/>
        <v>0</v>
      </c>
      <c r="AO12" s="47">
        <f t="shared" si="1"/>
        <v>0</v>
      </c>
    </row>
    <row r="13" spans="1:41" ht="16.5" customHeight="1" x14ac:dyDescent="0.25">
      <c r="A13" s="39">
        <f>YearToDate!A16</f>
        <v>7</v>
      </c>
      <c r="B13" s="40" t="str">
        <f>VLOOKUP(A13,YearToDate!$A$9:$B$34,2,0)</f>
        <v>SULEMAN IBRAHIM</v>
      </c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47">
        <f t="shared" si="2"/>
        <v>0</v>
      </c>
      <c r="AI13" s="47">
        <f t="shared" si="1"/>
        <v>0</v>
      </c>
      <c r="AJ13" s="47">
        <f t="shared" si="1"/>
        <v>0</v>
      </c>
      <c r="AK13" s="47">
        <f t="shared" si="1"/>
        <v>0</v>
      </c>
      <c r="AL13" s="47">
        <f t="shared" si="1"/>
        <v>0</v>
      </c>
      <c r="AM13" s="47">
        <f t="shared" si="1"/>
        <v>0</v>
      </c>
      <c r="AN13" s="47">
        <f t="shared" si="1"/>
        <v>0</v>
      </c>
      <c r="AO13" s="47">
        <f t="shared" si="1"/>
        <v>0</v>
      </c>
    </row>
    <row r="14" spans="1:41" ht="16.5" customHeight="1" x14ac:dyDescent="0.25">
      <c r="A14" s="39">
        <f>YearToDate!A17</f>
        <v>8</v>
      </c>
      <c r="B14" s="40" t="str">
        <f>VLOOKUP(A14,YearToDate!$A$9:$B$34,2,0)</f>
        <v>EMMANUELA LONGJAP</v>
      </c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47">
        <f t="shared" si="2"/>
        <v>0</v>
      </c>
      <c r="AI14" s="47">
        <f t="shared" si="1"/>
        <v>0</v>
      </c>
      <c r="AJ14" s="47">
        <f t="shared" si="1"/>
        <v>0</v>
      </c>
      <c r="AK14" s="47">
        <f t="shared" si="1"/>
        <v>0</v>
      </c>
      <c r="AL14" s="47">
        <f t="shared" si="1"/>
        <v>0</v>
      </c>
      <c r="AM14" s="47">
        <f t="shared" si="1"/>
        <v>0</v>
      </c>
      <c r="AN14" s="47">
        <f t="shared" si="1"/>
        <v>0</v>
      </c>
      <c r="AO14" s="47">
        <f t="shared" si="1"/>
        <v>0</v>
      </c>
    </row>
    <row r="15" spans="1:41" ht="16.5" customHeight="1" x14ac:dyDescent="0.25">
      <c r="A15" s="39">
        <f>YearToDate!A18</f>
        <v>9</v>
      </c>
      <c r="B15" s="40" t="str">
        <f>VLOOKUP(A15,YearToDate!$A$9:$B$34,2,0)</f>
        <v xml:space="preserve">OLUCHI EZE 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47">
        <f t="shared" si="2"/>
        <v>0</v>
      </c>
      <c r="AI15" s="47">
        <f t="shared" si="1"/>
        <v>0</v>
      </c>
      <c r="AJ15" s="47">
        <f t="shared" si="1"/>
        <v>0</v>
      </c>
      <c r="AK15" s="47">
        <f t="shared" si="1"/>
        <v>0</v>
      </c>
      <c r="AL15" s="47">
        <f t="shared" si="1"/>
        <v>0</v>
      </c>
      <c r="AM15" s="47">
        <f t="shared" si="1"/>
        <v>0</v>
      </c>
      <c r="AN15" s="47">
        <f t="shared" si="1"/>
        <v>0</v>
      </c>
      <c r="AO15" s="47">
        <f t="shared" si="1"/>
        <v>0</v>
      </c>
    </row>
    <row r="16" spans="1:41" ht="16.5" customHeight="1" x14ac:dyDescent="0.25">
      <c r="A16" s="39">
        <f>YearToDate!A19</f>
        <v>10</v>
      </c>
      <c r="B16" s="40" t="str">
        <f>VLOOKUP(A16,YearToDate!$A$9:$B$34,2,0)</f>
        <v>NURA ABDULLAHI</v>
      </c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47">
        <f t="shared" si="2"/>
        <v>0</v>
      </c>
      <c r="AI16" s="47">
        <f t="shared" si="1"/>
        <v>0</v>
      </c>
      <c r="AJ16" s="47">
        <f t="shared" si="1"/>
        <v>0</v>
      </c>
      <c r="AK16" s="47">
        <f t="shared" si="1"/>
        <v>0</v>
      </c>
      <c r="AL16" s="47">
        <f t="shared" si="1"/>
        <v>0</v>
      </c>
      <c r="AM16" s="47">
        <f t="shared" si="1"/>
        <v>0</v>
      </c>
      <c r="AN16" s="47">
        <f t="shared" si="1"/>
        <v>0</v>
      </c>
      <c r="AO16" s="47">
        <f t="shared" si="1"/>
        <v>0</v>
      </c>
    </row>
    <row r="17" spans="1:41" ht="16.5" customHeight="1" x14ac:dyDescent="0.25">
      <c r="A17" s="39">
        <f>YearToDate!A20</f>
        <v>11</v>
      </c>
      <c r="B17" s="40" t="str">
        <f>VLOOKUP(A17,YearToDate!$A$9:$B$34,2,0)</f>
        <v>VERA EGELAMBA EZINNE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47">
        <f t="shared" si="2"/>
        <v>0</v>
      </c>
      <c r="AI17" s="47">
        <f t="shared" si="2"/>
        <v>0</v>
      </c>
      <c r="AJ17" s="47">
        <f t="shared" si="2"/>
        <v>0</v>
      </c>
      <c r="AK17" s="47">
        <f t="shared" si="2"/>
        <v>0</v>
      </c>
      <c r="AL17" s="47">
        <f t="shared" si="2"/>
        <v>0</v>
      </c>
      <c r="AM17" s="47">
        <f t="shared" si="2"/>
        <v>0</v>
      </c>
      <c r="AN17" s="47">
        <f t="shared" si="2"/>
        <v>0</v>
      </c>
      <c r="AO17" s="47">
        <f t="shared" si="2"/>
        <v>0</v>
      </c>
    </row>
    <row r="18" spans="1:41" ht="16.5" customHeight="1" x14ac:dyDescent="0.25">
      <c r="A18" s="39">
        <f>YearToDate!A21</f>
        <v>18</v>
      </c>
      <c r="B18" s="40" t="str">
        <f>VLOOKUP(A18,YearToDate!$A$9:$B$34,2,0)</f>
        <v>NAIMA LABARAN DABO</v>
      </c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47">
        <f t="shared" si="2"/>
        <v>0</v>
      </c>
      <c r="AI18" s="47">
        <f t="shared" si="2"/>
        <v>0</v>
      </c>
      <c r="AJ18" s="47">
        <f t="shared" si="2"/>
        <v>0</v>
      </c>
      <c r="AK18" s="47">
        <f t="shared" si="2"/>
        <v>0</v>
      </c>
      <c r="AL18" s="47">
        <f t="shared" si="2"/>
        <v>0</v>
      </c>
      <c r="AM18" s="47">
        <f t="shared" si="2"/>
        <v>0</v>
      </c>
      <c r="AN18" s="47">
        <f t="shared" si="2"/>
        <v>0</v>
      </c>
      <c r="AO18" s="47">
        <f t="shared" si="2"/>
        <v>0</v>
      </c>
    </row>
    <row r="19" spans="1:41" ht="16.5" customHeight="1" x14ac:dyDescent="0.25">
      <c r="A19" s="39">
        <f>YearToDate!A22</f>
        <v>19</v>
      </c>
      <c r="B19" s="40">
        <f>VLOOKUP(A19,YearToDate!$A$9:$B$34,2,0)</f>
        <v>0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47">
        <f t="shared" si="2"/>
        <v>0</v>
      </c>
      <c r="AI19" s="47">
        <f t="shared" si="2"/>
        <v>0</v>
      </c>
      <c r="AJ19" s="47">
        <f t="shared" si="2"/>
        <v>0</v>
      </c>
      <c r="AK19" s="47">
        <f t="shared" si="2"/>
        <v>0</v>
      </c>
      <c r="AL19" s="47">
        <f t="shared" si="2"/>
        <v>0</v>
      </c>
      <c r="AM19" s="47">
        <f t="shared" si="2"/>
        <v>0</v>
      </c>
      <c r="AN19" s="47">
        <f t="shared" si="2"/>
        <v>0</v>
      </c>
      <c r="AO19" s="47">
        <f t="shared" si="2"/>
        <v>0</v>
      </c>
    </row>
    <row r="20" spans="1:41" ht="16.5" customHeight="1" x14ac:dyDescent="0.25">
      <c r="A20" s="39">
        <f>YearToDate!A23</f>
        <v>20</v>
      </c>
      <c r="B20" s="40">
        <f>VLOOKUP(A20,YearToDate!$A$9:$B$34,2,0)</f>
        <v>0</v>
      </c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47">
        <f t="shared" si="2"/>
        <v>0</v>
      </c>
      <c r="AI20" s="47">
        <f t="shared" si="2"/>
        <v>0</v>
      </c>
      <c r="AJ20" s="47">
        <f t="shared" si="2"/>
        <v>0</v>
      </c>
      <c r="AK20" s="47">
        <f t="shared" si="2"/>
        <v>0</v>
      </c>
      <c r="AL20" s="47">
        <f t="shared" si="2"/>
        <v>0</v>
      </c>
      <c r="AM20" s="47">
        <f t="shared" si="2"/>
        <v>0</v>
      </c>
      <c r="AN20" s="47">
        <f t="shared" si="2"/>
        <v>0</v>
      </c>
      <c r="AO20" s="47">
        <f t="shared" si="2"/>
        <v>0</v>
      </c>
    </row>
    <row r="21" spans="1:41" ht="16.5" customHeight="1" x14ac:dyDescent="0.25">
      <c r="A21" s="39">
        <f>YearToDate!A24</f>
        <v>21</v>
      </c>
      <c r="B21" s="40">
        <f>VLOOKUP(A21,YearToDate!$A$9:$B$34,2,0)</f>
        <v>0</v>
      </c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47">
        <f t="shared" si="2"/>
        <v>0</v>
      </c>
      <c r="AI21" s="47">
        <f t="shared" si="2"/>
        <v>0</v>
      </c>
      <c r="AJ21" s="47">
        <f t="shared" si="2"/>
        <v>0</v>
      </c>
      <c r="AK21" s="47">
        <f t="shared" si="2"/>
        <v>0</v>
      </c>
      <c r="AL21" s="47">
        <f t="shared" si="2"/>
        <v>0</v>
      </c>
      <c r="AM21" s="47">
        <f t="shared" si="2"/>
        <v>0</v>
      </c>
      <c r="AN21" s="47">
        <f t="shared" si="2"/>
        <v>0</v>
      </c>
      <c r="AO21" s="47">
        <f t="shared" si="2"/>
        <v>0</v>
      </c>
    </row>
    <row r="22" spans="1:41" ht="16.5" customHeight="1" x14ac:dyDescent="0.25">
      <c r="A22" s="39">
        <f>YearToDate!A25</f>
        <v>22</v>
      </c>
      <c r="B22" s="40">
        <f>VLOOKUP(A22,YearToDate!$A$9:$B$34,2,0)</f>
        <v>0</v>
      </c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47">
        <f t="shared" si="2"/>
        <v>0</v>
      </c>
      <c r="AI22" s="47">
        <f t="shared" si="2"/>
        <v>0</v>
      </c>
      <c r="AJ22" s="47">
        <f t="shared" si="2"/>
        <v>0</v>
      </c>
      <c r="AK22" s="47">
        <f t="shared" si="2"/>
        <v>0</v>
      </c>
      <c r="AL22" s="47">
        <f t="shared" si="2"/>
        <v>0</v>
      </c>
      <c r="AM22" s="47">
        <f t="shared" si="2"/>
        <v>0</v>
      </c>
      <c r="AN22" s="47">
        <f t="shared" si="2"/>
        <v>0</v>
      </c>
      <c r="AO22" s="47">
        <f t="shared" si="2"/>
        <v>0</v>
      </c>
    </row>
    <row r="23" spans="1:41" ht="16.5" customHeight="1" x14ac:dyDescent="0.25">
      <c r="A23" s="39">
        <f>YearToDate!A26</f>
        <v>23</v>
      </c>
      <c r="B23" s="40">
        <f>VLOOKUP(A23,YearToDate!$A$9:$B$34,2,0)</f>
        <v>0</v>
      </c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47">
        <f t="shared" si="2"/>
        <v>0</v>
      </c>
      <c r="AI23" s="47">
        <f t="shared" si="2"/>
        <v>0</v>
      </c>
      <c r="AJ23" s="47">
        <f t="shared" si="2"/>
        <v>0</v>
      </c>
      <c r="AK23" s="47">
        <f t="shared" si="2"/>
        <v>0</v>
      </c>
      <c r="AL23" s="47">
        <f t="shared" si="2"/>
        <v>0</v>
      </c>
      <c r="AM23" s="47">
        <f t="shared" si="2"/>
        <v>0</v>
      </c>
      <c r="AN23" s="47">
        <f t="shared" si="2"/>
        <v>0</v>
      </c>
      <c r="AO23" s="47">
        <f t="shared" si="2"/>
        <v>0</v>
      </c>
    </row>
    <row r="24" spans="1:41" ht="16.5" customHeight="1" x14ac:dyDescent="0.25">
      <c r="A24" s="39">
        <f>YearToDate!A27</f>
        <v>24</v>
      </c>
      <c r="B24" s="40">
        <f>VLOOKUP(A24,YearToDate!$A$9:$B$34,2,0)</f>
        <v>0</v>
      </c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47">
        <f t="shared" si="2"/>
        <v>0</v>
      </c>
      <c r="AI24" s="47">
        <f t="shared" si="2"/>
        <v>0</v>
      </c>
      <c r="AJ24" s="47">
        <f t="shared" si="2"/>
        <v>0</v>
      </c>
      <c r="AK24" s="47">
        <f t="shared" si="2"/>
        <v>0</v>
      </c>
      <c r="AL24" s="47">
        <f t="shared" si="2"/>
        <v>0</v>
      </c>
      <c r="AM24" s="47">
        <f t="shared" si="2"/>
        <v>0</v>
      </c>
      <c r="AN24" s="47">
        <f t="shared" si="2"/>
        <v>0</v>
      </c>
      <c r="AO24" s="47">
        <f t="shared" si="2"/>
        <v>0</v>
      </c>
    </row>
    <row r="25" spans="1:41" ht="16.5" customHeight="1" x14ac:dyDescent="0.25">
      <c r="A25" s="39">
        <f>YearToDate!A28</f>
        <v>25</v>
      </c>
      <c r="B25" s="40">
        <f>VLOOKUP(A25,YearToDate!$A$9:$B$34,2,0)</f>
        <v>0</v>
      </c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47">
        <f t="shared" si="2"/>
        <v>0</v>
      </c>
      <c r="AI25" s="47">
        <f t="shared" si="2"/>
        <v>0</v>
      </c>
      <c r="AJ25" s="47">
        <f t="shared" si="2"/>
        <v>0</v>
      </c>
      <c r="AK25" s="47">
        <f t="shared" si="2"/>
        <v>0</v>
      </c>
      <c r="AL25" s="47">
        <f t="shared" si="2"/>
        <v>0</v>
      </c>
      <c r="AM25" s="47">
        <f t="shared" si="2"/>
        <v>0</v>
      </c>
      <c r="AN25" s="47">
        <f t="shared" si="2"/>
        <v>0</v>
      </c>
      <c r="AO25" s="47">
        <f t="shared" si="2"/>
        <v>0</v>
      </c>
    </row>
    <row r="26" spans="1:41" ht="16.5" customHeight="1" x14ac:dyDescent="0.25">
      <c r="A26" s="39">
        <f>YearToDate!A29</f>
        <v>26</v>
      </c>
      <c r="B26" s="40">
        <f>VLOOKUP(A26,YearToDate!$A$9:$B$34,2,0)</f>
        <v>0</v>
      </c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47">
        <f t="shared" si="2"/>
        <v>0</v>
      </c>
      <c r="AI26" s="47">
        <f t="shared" si="2"/>
        <v>0</v>
      </c>
      <c r="AJ26" s="47">
        <f t="shared" si="2"/>
        <v>0</v>
      </c>
      <c r="AK26" s="47">
        <f t="shared" si="2"/>
        <v>0</v>
      </c>
      <c r="AL26" s="47">
        <f t="shared" si="2"/>
        <v>0</v>
      </c>
      <c r="AM26" s="47">
        <f t="shared" si="2"/>
        <v>0</v>
      </c>
      <c r="AN26" s="47">
        <f t="shared" si="2"/>
        <v>0</v>
      </c>
      <c r="AO26" s="47">
        <f t="shared" si="2"/>
        <v>0</v>
      </c>
    </row>
    <row r="27" spans="1:41" ht="16.5" customHeight="1" x14ac:dyDescent="0.25">
      <c r="A27" s="39">
        <f>YearToDate!A30</f>
        <v>27</v>
      </c>
      <c r="B27" s="40">
        <f>VLOOKUP(A27,YearToDate!$A$9:$B$34,2,0)</f>
        <v>0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47">
        <f t="shared" si="2"/>
        <v>0</v>
      </c>
      <c r="AI27" s="47">
        <f t="shared" si="2"/>
        <v>0</v>
      </c>
      <c r="AJ27" s="47">
        <f t="shared" si="2"/>
        <v>0</v>
      </c>
      <c r="AK27" s="47">
        <f t="shared" si="2"/>
        <v>0</v>
      </c>
      <c r="AL27" s="47">
        <f t="shared" si="2"/>
        <v>0</v>
      </c>
      <c r="AM27" s="47">
        <f t="shared" si="2"/>
        <v>0</v>
      </c>
      <c r="AN27" s="47">
        <f t="shared" si="2"/>
        <v>0</v>
      </c>
      <c r="AO27" s="47">
        <f t="shared" si="2"/>
        <v>0</v>
      </c>
    </row>
    <row r="28" spans="1:41" ht="16.5" customHeight="1" x14ac:dyDescent="0.25">
      <c r="A28" s="39">
        <f>YearToDate!A31</f>
        <v>28</v>
      </c>
      <c r="B28" s="40">
        <f>VLOOKUP(A28,YearToDate!$A$9:$B$34,2,0)</f>
        <v>0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47">
        <f t="shared" si="2"/>
        <v>0</v>
      </c>
      <c r="AI28" s="47">
        <f t="shared" si="2"/>
        <v>0</v>
      </c>
      <c r="AJ28" s="47">
        <f t="shared" si="2"/>
        <v>0</v>
      </c>
      <c r="AK28" s="47">
        <f t="shared" si="2"/>
        <v>0</v>
      </c>
      <c r="AL28" s="47">
        <f t="shared" si="2"/>
        <v>0</v>
      </c>
      <c r="AM28" s="47">
        <f t="shared" si="2"/>
        <v>0</v>
      </c>
      <c r="AN28" s="47">
        <f t="shared" si="2"/>
        <v>0</v>
      </c>
      <c r="AO28" s="47">
        <f t="shared" si="2"/>
        <v>0</v>
      </c>
    </row>
    <row r="29" spans="1:41" ht="16.5" customHeight="1" x14ac:dyDescent="0.25">
      <c r="A29" s="39">
        <f>YearToDate!A32</f>
        <v>29</v>
      </c>
      <c r="B29" s="40">
        <f>VLOOKUP(A29,YearToDate!$A$9:$B$34,2,0)</f>
        <v>0</v>
      </c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47">
        <f t="shared" si="2"/>
        <v>0</v>
      </c>
      <c r="AI29" s="47">
        <f t="shared" si="2"/>
        <v>0</v>
      </c>
      <c r="AJ29" s="47">
        <f t="shared" si="2"/>
        <v>0</v>
      </c>
      <c r="AK29" s="47">
        <f t="shared" si="2"/>
        <v>0</v>
      </c>
      <c r="AL29" s="47">
        <f t="shared" si="2"/>
        <v>0</v>
      </c>
      <c r="AM29" s="47">
        <f t="shared" si="2"/>
        <v>0</v>
      </c>
      <c r="AN29" s="47">
        <f t="shared" si="2"/>
        <v>0</v>
      </c>
      <c r="AO29" s="47">
        <f t="shared" si="2"/>
        <v>0</v>
      </c>
    </row>
    <row r="30" spans="1:41" s="28" customFormat="1" ht="16.5" customHeight="1" x14ac:dyDescent="0.25">
      <c r="A30" s="32"/>
      <c r="B30" s="33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48"/>
      <c r="AI30" s="48"/>
      <c r="AJ30" s="48"/>
      <c r="AK30" s="48"/>
      <c r="AL30" s="48"/>
      <c r="AM30" s="48"/>
      <c r="AN30" s="48"/>
      <c r="AO30" s="48"/>
    </row>
    <row r="31" spans="1:41" ht="16.5" customHeight="1" x14ac:dyDescent="0.25">
      <c r="A31" s="29" t="str">
        <f>HYPERLINK("https://www.vertex42.com/templates/employee-leave-tracker.html","https://www.vertex42.com/templates/employee-leave-tracker.html")</f>
        <v>https://www.vertex42.com/templates/employee-leave-tracker.html</v>
      </c>
      <c r="B31" s="35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AG31" s="37" t="s">
        <v>40</v>
      </c>
      <c r="AH31" s="49">
        <f>SUM(AH7:AH30)</f>
        <v>0</v>
      </c>
      <c r="AI31" s="49">
        <f>SUM(AI7:AI30)</f>
        <v>0</v>
      </c>
      <c r="AJ31" s="49">
        <f>SUM(AJ7:AJ30)</f>
        <v>0</v>
      </c>
      <c r="AK31" s="49">
        <f>SUM(AK7:AK30)</f>
        <v>0</v>
      </c>
      <c r="AL31" s="49">
        <f>SUM(AL7:AL30)</f>
        <v>0</v>
      </c>
      <c r="AM31" s="49">
        <f t="shared" ref="AM31:AN31" si="3">SUM(AM7:AM30)</f>
        <v>0</v>
      </c>
      <c r="AN31" s="49">
        <f t="shared" si="3"/>
        <v>0</v>
      </c>
      <c r="AO31" s="49">
        <f>SUM(AO7:AO30)</f>
        <v>0</v>
      </c>
    </row>
    <row r="32" spans="1:41" x14ac:dyDescent="0.25">
      <c r="A32" s="73"/>
      <c r="B32" s="73"/>
    </row>
  </sheetData>
  <mergeCells count="3">
    <mergeCell ref="A32:B32"/>
    <mergeCell ref="C4:AG4"/>
    <mergeCell ref="AH4:AO4"/>
  </mergeCells>
  <conditionalFormatting sqref="C6:AG6">
    <cfRule type="expression" dxfId="51" priority="2" stopIfTrue="1">
      <formula>OR(WEEKDAY(C$6,1)=1,WEEKDAY(C$6,1)=7)</formula>
    </cfRule>
    <cfRule type="cellIs" dxfId="50" priority="3" stopIfTrue="1" operator="equal">
      <formula>""</formula>
    </cfRule>
  </conditionalFormatting>
  <conditionalFormatting sqref="C7:AG29">
    <cfRule type="expression" dxfId="49" priority="4" stopIfTrue="1">
      <formula>OR(WEEKDAY(C$6)=1,WEEKDAY(C$6)=7)</formula>
    </cfRule>
    <cfRule type="expression" dxfId="48" priority="5" stopIfTrue="1">
      <formula>C$6=""</formula>
    </cfRule>
  </conditionalFormatting>
  <dataValidations count="1">
    <dataValidation type="list" allowBlank="1" sqref="C7:AG29">
      <formula1>$AH$6:$AO$6</formula1>
    </dataValidation>
  </dataValidations>
  <printOptions horizontalCentered="1"/>
  <pageMargins left="0.25" right="0.25" top="0.25" bottom="0.25" header="0.5" footer="0.5"/>
  <pageSetup scale="95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O32"/>
  <sheetViews>
    <sheetView showGridLines="0" zoomScale="90" zoomScaleNormal="90" workbookViewId="0">
      <selection activeCell="E11" sqref="E11:O12"/>
    </sheetView>
  </sheetViews>
  <sheetFormatPr defaultColWidth="9.1796875" defaultRowHeight="12.5" x14ac:dyDescent="0.25"/>
  <cols>
    <col min="1" max="1" width="5.453125" style="18" customWidth="1"/>
    <col min="2" max="2" width="24.1796875" style="18" customWidth="1"/>
    <col min="3" max="33" width="3.26953125" style="18" customWidth="1"/>
    <col min="34" max="41" width="4.26953125" style="18" customWidth="1"/>
    <col min="42" max="16384" width="9.1796875" style="18"/>
  </cols>
  <sheetData>
    <row r="1" spans="1:41" ht="26.25" customHeight="1" x14ac:dyDescent="0.25">
      <c r="A1" s="17" t="str">
        <f>"April "&amp;YearToDate!$B$3</f>
        <v>April 2024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26" t="s">
        <v>0</v>
      </c>
    </row>
    <row r="2" spans="1:41" x14ac:dyDescent="0.25">
      <c r="AO2" s="27" t="s">
        <v>39</v>
      </c>
    </row>
    <row r="4" spans="1:41" ht="22" customHeight="1" x14ac:dyDescent="0.25">
      <c r="A4" s="60" t="s">
        <v>6</v>
      </c>
      <c r="B4" s="61"/>
      <c r="C4" s="74" t="str">
        <f>YearToDate!$A$5</f>
        <v>A = Annual,  S = Sick, M = Maternity, CM = Compationate, T = Terminal leave, ST = Study, E = Examination, CA = Casual</v>
      </c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1" t="s">
        <v>36</v>
      </c>
      <c r="AI4" s="71"/>
      <c r="AJ4" s="71"/>
      <c r="AK4" s="71"/>
      <c r="AL4" s="71"/>
      <c r="AM4" s="71"/>
      <c r="AN4" s="71"/>
      <c r="AO4" s="71"/>
    </row>
    <row r="5" spans="1:41" ht="16.5" customHeight="1" x14ac:dyDescent="0.25">
      <c r="A5" s="58"/>
      <c r="B5" s="59"/>
      <c r="C5" s="30" t="str">
        <f>IF(C6="","",INDEX({"Su";"M";"Tu";"W";"Th";"F";"Sa"},WEEKDAY(C6,1)))</f>
        <v>M</v>
      </c>
      <c r="D5" s="30" t="str">
        <f>IF(D6="","",INDEX({"Su";"M";"Tu";"W";"Th";"F";"Sa"},WEEKDAY(D6,1)))</f>
        <v>Tu</v>
      </c>
      <c r="E5" s="30" t="str">
        <f>IF(E6="","",INDEX({"Su";"M";"Tu";"W";"Th";"F";"Sa"},WEEKDAY(E6,1)))</f>
        <v>W</v>
      </c>
      <c r="F5" s="30" t="str">
        <f>IF(F6="","",INDEX({"Su";"M";"Tu";"W";"Th";"F";"Sa"},WEEKDAY(F6,1)))</f>
        <v>Th</v>
      </c>
      <c r="G5" s="30" t="str">
        <f>IF(G6="","",INDEX({"Su";"M";"Tu";"W";"Th";"F";"Sa"},WEEKDAY(G6,1)))</f>
        <v>F</v>
      </c>
      <c r="H5" s="30" t="str">
        <f>IF(H6="","",INDEX({"Su";"M";"Tu";"W";"Th";"F";"Sa"},WEEKDAY(H6,1)))</f>
        <v>Sa</v>
      </c>
      <c r="I5" s="30" t="str">
        <f>IF(I6="","",INDEX({"Su";"M";"Tu";"W";"Th";"F";"Sa"},WEEKDAY(I6,1)))</f>
        <v>Su</v>
      </c>
      <c r="J5" s="30" t="str">
        <f>IF(J6="","",INDEX({"Su";"M";"Tu";"W";"Th";"F";"Sa"},WEEKDAY(J6,1)))</f>
        <v>M</v>
      </c>
      <c r="K5" s="30" t="str">
        <f>IF(K6="","",INDEX({"Su";"M";"Tu";"W";"Th";"F";"Sa"},WEEKDAY(K6,1)))</f>
        <v>Tu</v>
      </c>
      <c r="L5" s="30" t="str">
        <f>IF(L6="","",INDEX({"Su";"M";"Tu";"W";"Th";"F";"Sa"},WEEKDAY(L6,1)))</f>
        <v>W</v>
      </c>
      <c r="M5" s="30" t="str">
        <f>IF(M6="","",INDEX({"Su";"M";"Tu";"W";"Th";"F";"Sa"},WEEKDAY(M6,1)))</f>
        <v>Th</v>
      </c>
      <c r="N5" s="30" t="str">
        <f>IF(N6="","",INDEX({"Su";"M";"Tu";"W";"Th";"F";"Sa"},WEEKDAY(N6,1)))</f>
        <v>F</v>
      </c>
      <c r="O5" s="30" t="str">
        <f>IF(O6="","",INDEX({"Su";"M";"Tu";"W";"Th";"F";"Sa"},WEEKDAY(O6,1)))</f>
        <v>Sa</v>
      </c>
      <c r="P5" s="30" t="str">
        <f>IF(P6="","",INDEX({"Su";"M";"Tu";"W";"Th";"F";"Sa"},WEEKDAY(P6,1)))</f>
        <v>Su</v>
      </c>
      <c r="Q5" s="30" t="str">
        <f>IF(Q6="","",INDEX({"Su";"M";"Tu";"W";"Th";"F";"Sa"},WEEKDAY(Q6,1)))</f>
        <v>M</v>
      </c>
      <c r="R5" s="30" t="str">
        <f>IF(R6="","",INDEX({"Su";"M";"Tu";"W";"Th";"F";"Sa"},WEEKDAY(R6,1)))</f>
        <v>Tu</v>
      </c>
      <c r="S5" s="30" t="str">
        <f>IF(S6="","",INDEX({"Su";"M";"Tu";"W";"Th";"F";"Sa"},WEEKDAY(S6,1)))</f>
        <v>W</v>
      </c>
      <c r="T5" s="30" t="str">
        <f>IF(T6="","",INDEX({"Su";"M";"Tu";"W";"Th";"F";"Sa"},WEEKDAY(T6,1)))</f>
        <v>Th</v>
      </c>
      <c r="U5" s="30" t="str">
        <f>IF(U6="","",INDEX({"Su";"M";"Tu";"W";"Th";"F";"Sa"},WEEKDAY(U6,1)))</f>
        <v>F</v>
      </c>
      <c r="V5" s="30" t="str">
        <f>IF(V6="","",INDEX({"Su";"M";"Tu";"W";"Th";"F";"Sa"},WEEKDAY(V6,1)))</f>
        <v>Sa</v>
      </c>
      <c r="W5" s="30" t="str">
        <f>IF(W6="","",INDEX({"Su";"M";"Tu";"W";"Th";"F";"Sa"},WEEKDAY(W6,1)))</f>
        <v>Su</v>
      </c>
      <c r="X5" s="30" t="str">
        <f>IF(X6="","",INDEX({"Su";"M";"Tu";"W";"Th";"F";"Sa"},WEEKDAY(X6,1)))</f>
        <v>M</v>
      </c>
      <c r="Y5" s="30" t="str">
        <f>IF(Y6="","",INDEX({"Su";"M";"Tu";"W";"Th";"F";"Sa"},WEEKDAY(Y6,1)))</f>
        <v>Tu</v>
      </c>
      <c r="Z5" s="30" t="str">
        <f>IF(Z6="","",INDEX({"Su";"M";"Tu";"W";"Th";"F";"Sa"},WEEKDAY(Z6,1)))</f>
        <v>W</v>
      </c>
      <c r="AA5" s="30" t="str">
        <f>IF(AA6="","",INDEX({"Su";"M";"Tu";"W";"Th";"F";"Sa"},WEEKDAY(AA6,1)))</f>
        <v>Th</v>
      </c>
      <c r="AB5" s="30" t="str">
        <f>IF(AB6="","",INDEX({"Su";"M";"Tu";"W";"Th";"F";"Sa"},WEEKDAY(AB6,1)))</f>
        <v>F</v>
      </c>
      <c r="AC5" s="30" t="str">
        <f>IF(AC6="","",INDEX({"Su";"M";"Tu";"W";"Th";"F";"Sa"},WEEKDAY(AC6,1)))</f>
        <v>Sa</v>
      </c>
      <c r="AD5" s="30" t="str">
        <f>IF(AD6="","",INDEX({"Su";"M";"Tu";"W";"Th";"F";"Sa"},WEEKDAY(AD6,1)))</f>
        <v>Su</v>
      </c>
      <c r="AE5" s="30" t="str">
        <f>IF(AE6="","",INDEX({"Su";"M";"Tu";"W";"Th";"F";"Sa"},WEEKDAY(AE6,1)))</f>
        <v>M</v>
      </c>
      <c r="AF5" s="30" t="str">
        <f>IF(AF6="","",INDEX({"Su";"M";"Tu";"W";"Th";"F";"Sa"},WEEKDAY(AF6,1)))</f>
        <v>Tu</v>
      </c>
      <c r="AG5" s="30" t="str">
        <f>IF(AG6="","",INDEX({"Su";"M";"Tu";"W";"Th";"F";"Sa"},WEEKDAY(AG6,1)))</f>
        <v/>
      </c>
      <c r="AH5" s="62"/>
      <c r="AI5" s="62"/>
      <c r="AJ5" s="62"/>
      <c r="AK5" s="62"/>
      <c r="AL5" s="62"/>
      <c r="AM5" s="62"/>
      <c r="AN5" s="62"/>
      <c r="AO5" s="62"/>
    </row>
    <row r="6" spans="1:41" ht="16.5" customHeight="1" x14ac:dyDescent="0.25">
      <c r="A6" s="45" t="s">
        <v>8</v>
      </c>
      <c r="B6" s="38" t="s">
        <v>9</v>
      </c>
      <c r="C6" s="43">
        <f>DATE(YearToDate!$B$3,4,1)</f>
        <v>45383</v>
      </c>
      <c r="D6" s="43">
        <f>C6+1</f>
        <v>45384</v>
      </c>
      <c r="E6" s="43">
        <f t="shared" ref="E6:AD6" si="0">D6+1</f>
        <v>45385</v>
      </c>
      <c r="F6" s="43">
        <f t="shared" si="0"/>
        <v>45386</v>
      </c>
      <c r="G6" s="43">
        <f>F6+1</f>
        <v>45387</v>
      </c>
      <c r="H6" s="43">
        <f t="shared" si="0"/>
        <v>45388</v>
      </c>
      <c r="I6" s="43">
        <f t="shared" si="0"/>
        <v>45389</v>
      </c>
      <c r="J6" s="43">
        <f t="shared" si="0"/>
        <v>45390</v>
      </c>
      <c r="K6" s="43">
        <f t="shared" si="0"/>
        <v>45391</v>
      </c>
      <c r="L6" s="43">
        <f t="shared" si="0"/>
        <v>45392</v>
      </c>
      <c r="M6" s="43">
        <f t="shared" si="0"/>
        <v>45393</v>
      </c>
      <c r="N6" s="43">
        <f t="shared" si="0"/>
        <v>45394</v>
      </c>
      <c r="O6" s="43">
        <f t="shared" si="0"/>
        <v>45395</v>
      </c>
      <c r="P6" s="43">
        <f t="shared" si="0"/>
        <v>45396</v>
      </c>
      <c r="Q6" s="43">
        <f t="shared" si="0"/>
        <v>45397</v>
      </c>
      <c r="R6" s="43">
        <f t="shared" si="0"/>
        <v>45398</v>
      </c>
      <c r="S6" s="43">
        <f t="shared" si="0"/>
        <v>45399</v>
      </c>
      <c r="T6" s="43">
        <f t="shared" si="0"/>
        <v>45400</v>
      </c>
      <c r="U6" s="43">
        <f t="shared" si="0"/>
        <v>45401</v>
      </c>
      <c r="V6" s="43">
        <f t="shared" si="0"/>
        <v>45402</v>
      </c>
      <c r="W6" s="43">
        <f t="shared" si="0"/>
        <v>45403</v>
      </c>
      <c r="X6" s="43">
        <f t="shared" si="0"/>
        <v>45404</v>
      </c>
      <c r="Y6" s="43">
        <f t="shared" si="0"/>
        <v>45405</v>
      </c>
      <c r="Z6" s="43">
        <f t="shared" si="0"/>
        <v>45406</v>
      </c>
      <c r="AA6" s="43">
        <f t="shared" si="0"/>
        <v>45407</v>
      </c>
      <c r="AB6" s="43">
        <f t="shared" si="0"/>
        <v>45408</v>
      </c>
      <c r="AC6" s="43">
        <f t="shared" si="0"/>
        <v>45409</v>
      </c>
      <c r="AD6" s="43">
        <f t="shared" si="0"/>
        <v>45410</v>
      </c>
      <c r="AE6" s="43">
        <f>IF(MONTH($AD6+1)&gt;MONTH($C$6),"",$AD6+1)</f>
        <v>45411</v>
      </c>
      <c r="AF6" s="43">
        <f>IF(MONTH($AD6+2)&gt;MONTH($C$6),"",$AD6+2)</f>
        <v>45412</v>
      </c>
      <c r="AG6" s="43" t="str">
        <f>IF(MONTH($AD6+3)&gt;MONTH($C$6),"",$AD6+3)</f>
        <v/>
      </c>
      <c r="AH6" s="31" t="str">
        <f>YearToDate!C9</f>
        <v>A</v>
      </c>
      <c r="AI6" s="31" t="str">
        <f>YearToDate!E9</f>
        <v>S</v>
      </c>
      <c r="AJ6" s="31" t="str">
        <f>YearToDate!G9</f>
        <v>M</v>
      </c>
      <c r="AK6" s="31" t="str">
        <f>YearToDate!I9</f>
        <v>CM</v>
      </c>
      <c r="AL6" s="31" t="str">
        <f>YearToDate!K9</f>
        <v>T</v>
      </c>
      <c r="AM6" s="31" t="str">
        <f>YearToDate!M9</f>
        <v>ST</v>
      </c>
      <c r="AN6" s="31" t="str">
        <f>YearToDate!O9</f>
        <v>E</v>
      </c>
      <c r="AO6" s="31" t="str">
        <f>YearToDate!Q9</f>
        <v>CA</v>
      </c>
    </row>
    <row r="7" spans="1:41" ht="16.5" customHeight="1" x14ac:dyDescent="0.25">
      <c r="A7" s="39">
        <f>YearToDate!A10</f>
        <v>1</v>
      </c>
      <c r="B7" s="40" t="str">
        <f>VLOOKUP(A7,YearToDate!$A$9:$B$34,2,0)</f>
        <v>AHMAN ABDULJABBAR</v>
      </c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47">
        <f>COUNTIF($C7:$AG7,AH$6)+0.5*COUNTIF($C7:$AG7,AH$6&amp;"H")+0.5*COUNTIF($C7:$AG7,"H"&amp;AH$6)</f>
        <v>0</v>
      </c>
      <c r="AI7" s="47">
        <f t="shared" ref="AI7:AO16" si="1">COUNTIF($C7:$AG7,AI$6)+0.5*COUNTIF($C7:$AG7,AI$6&amp;"H")+0.5*COUNTIF($C7:$AG7,"H"&amp;AI$6)</f>
        <v>0</v>
      </c>
      <c r="AJ7" s="47">
        <f t="shared" si="1"/>
        <v>0</v>
      </c>
      <c r="AK7" s="47">
        <f t="shared" si="1"/>
        <v>0</v>
      </c>
      <c r="AL7" s="47">
        <f t="shared" si="1"/>
        <v>0</v>
      </c>
      <c r="AM7" s="47">
        <f t="shared" si="1"/>
        <v>0</v>
      </c>
      <c r="AN7" s="47">
        <f t="shared" si="1"/>
        <v>0</v>
      </c>
      <c r="AO7" s="47">
        <f t="shared" si="1"/>
        <v>0</v>
      </c>
    </row>
    <row r="8" spans="1:41" ht="16.5" customHeight="1" x14ac:dyDescent="0.25">
      <c r="A8" s="39">
        <f>YearToDate!A11</f>
        <v>2</v>
      </c>
      <c r="B8" s="40" t="str">
        <f>VLOOKUP(A8,YearToDate!$A$9:$B$34,2,0)</f>
        <v>ALIYU MUSA ABUBAKAR</v>
      </c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47">
        <f t="shared" ref="AH8:AO29" si="2">COUNTIF($C8:$AG8,AH$6)+0.5*COUNTIF($C8:$AG8,AH$6&amp;"H")+0.5*COUNTIF($C8:$AG8,"H"&amp;AH$6)</f>
        <v>0</v>
      </c>
      <c r="AI8" s="47">
        <f t="shared" si="1"/>
        <v>0</v>
      </c>
      <c r="AJ8" s="47">
        <f t="shared" si="1"/>
        <v>0</v>
      </c>
      <c r="AK8" s="47">
        <f t="shared" si="1"/>
        <v>0</v>
      </c>
      <c r="AL8" s="47">
        <f t="shared" si="1"/>
        <v>0</v>
      </c>
      <c r="AM8" s="47">
        <f t="shared" si="1"/>
        <v>0</v>
      </c>
      <c r="AN8" s="47">
        <f t="shared" si="1"/>
        <v>0</v>
      </c>
      <c r="AO8" s="47">
        <f t="shared" si="1"/>
        <v>0</v>
      </c>
    </row>
    <row r="9" spans="1:41" ht="16.5" customHeight="1" x14ac:dyDescent="0.25">
      <c r="A9" s="39">
        <f>YearToDate!A12</f>
        <v>3</v>
      </c>
      <c r="B9" s="40" t="str">
        <f>VLOOKUP(A9,YearToDate!$A$9:$B$34,2,0)</f>
        <v>GOSTA ALIYU</v>
      </c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47">
        <f t="shared" si="2"/>
        <v>0</v>
      </c>
      <c r="AI9" s="47">
        <f t="shared" si="1"/>
        <v>0</v>
      </c>
      <c r="AJ9" s="47">
        <f t="shared" si="1"/>
        <v>0</v>
      </c>
      <c r="AK9" s="47">
        <f t="shared" si="1"/>
        <v>0</v>
      </c>
      <c r="AL9" s="47">
        <f t="shared" si="1"/>
        <v>0</v>
      </c>
      <c r="AM9" s="47">
        <f t="shared" si="1"/>
        <v>0</v>
      </c>
      <c r="AN9" s="47">
        <f t="shared" si="1"/>
        <v>0</v>
      </c>
      <c r="AO9" s="47">
        <f t="shared" si="1"/>
        <v>0</v>
      </c>
    </row>
    <row r="10" spans="1:41" ht="16.5" customHeight="1" x14ac:dyDescent="0.25">
      <c r="A10" s="39">
        <f>YearToDate!A13</f>
        <v>4</v>
      </c>
      <c r="B10" s="40" t="str">
        <f>VLOOKUP(A10,YearToDate!$A$9:$B$34,2,0)</f>
        <v>IBRAHIM TUKURA RILWAN</v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47">
        <f t="shared" si="2"/>
        <v>0</v>
      </c>
      <c r="AI10" s="47">
        <f t="shared" si="1"/>
        <v>0</v>
      </c>
      <c r="AJ10" s="47">
        <f t="shared" si="1"/>
        <v>0</v>
      </c>
      <c r="AK10" s="47">
        <f t="shared" si="1"/>
        <v>0</v>
      </c>
      <c r="AL10" s="47">
        <f t="shared" si="1"/>
        <v>0</v>
      </c>
      <c r="AM10" s="47">
        <f t="shared" si="1"/>
        <v>0</v>
      </c>
      <c r="AN10" s="47">
        <f t="shared" si="1"/>
        <v>0</v>
      </c>
      <c r="AO10" s="47">
        <f t="shared" si="1"/>
        <v>0</v>
      </c>
    </row>
    <row r="11" spans="1:41" ht="16.5" customHeight="1" x14ac:dyDescent="0.25">
      <c r="A11" s="39">
        <f>YearToDate!A14</f>
        <v>5</v>
      </c>
      <c r="B11" s="40" t="str">
        <f>VLOOKUP(A11,YearToDate!$A$9:$B$34,2,0)</f>
        <v>HASSAN HABEEB</v>
      </c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47">
        <f t="shared" si="2"/>
        <v>0</v>
      </c>
      <c r="AI11" s="47">
        <f t="shared" si="1"/>
        <v>0</v>
      </c>
      <c r="AJ11" s="47">
        <f t="shared" si="1"/>
        <v>0</v>
      </c>
      <c r="AK11" s="47">
        <f t="shared" si="1"/>
        <v>0</v>
      </c>
      <c r="AL11" s="47">
        <f t="shared" si="1"/>
        <v>0</v>
      </c>
      <c r="AM11" s="47">
        <f t="shared" si="1"/>
        <v>0</v>
      </c>
      <c r="AN11" s="47">
        <f t="shared" si="1"/>
        <v>0</v>
      </c>
      <c r="AO11" s="47">
        <f t="shared" si="1"/>
        <v>0</v>
      </c>
    </row>
    <row r="12" spans="1:41" ht="16.5" customHeight="1" x14ac:dyDescent="0.25">
      <c r="A12" s="39">
        <f>YearToDate!A15</f>
        <v>6</v>
      </c>
      <c r="B12" s="40" t="str">
        <f>VLOOKUP(A12,YearToDate!$A$9:$B$34,2,0)</f>
        <v>SHEHU NABILA</v>
      </c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47">
        <f t="shared" si="2"/>
        <v>0</v>
      </c>
      <c r="AI12" s="47">
        <f t="shared" si="1"/>
        <v>0</v>
      </c>
      <c r="AJ12" s="47">
        <f t="shared" si="1"/>
        <v>0</v>
      </c>
      <c r="AK12" s="47">
        <f t="shared" si="1"/>
        <v>0</v>
      </c>
      <c r="AL12" s="47">
        <f t="shared" si="1"/>
        <v>0</v>
      </c>
      <c r="AM12" s="47">
        <f t="shared" si="1"/>
        <v>0</v>
      </c>
      <c r="AN12" s="47">
        <f t="shared" si="1"/>
        <v>0</v>
      </c>
      <c r="AO12" s="47">
        <f t="shared" si="1"/>
        <v>0</v>
      </c>
    </row>
    <row r="13" spans="1:41" ht="16.5" customHeight="1" x14ac:dyDescent="0.25">
      <c r="A13" s="39">
        <f>YearToDate!A16</f>
        <v>7</v>
      </c>
      <c r="B13" s="40" t="str">
        <f>VLOOKUP(A13,YearToDate!$A$9:$B$34,2,0)</f>
        <v>SULEMAN IBRAHIM</v>
      </c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47">
        <f t="shared" si="2"/>
        <v>0</v>
      </c>
      <c r="AI13" s="47">
        <f t="shared" si="1"/>
        <v>0</v>
      </c>
      <c r="AJ13" s="47">
        <f t="shared" si="1"/>
        <v>0</v>
      </c>
      <c r="AK13" s="47">
        <f t="shared" si="1"/>
        <v>0</v>
      </c>
      <c r="AL13" s="47">
        <f t="shared" si="1"/>
        <v>0</v>
      </c>
      <c r="AM13" s="47">
        <f t="shared" si="1"/>
        <v>0</v>
      </c>
      <c r="AN13" s="47">
        <f t="shared" si="1"/>
        <v>0</v>
      </c>
      <c r="AO13" s="47">
        <f t="shared" si="1"/>
        <v>0</v>
      </c>
    </row>
    <row r="14" spans="1:41" ht="16.5" customHeight="1" x14ac:dyDescent="0.25">
      <c r="A14" s="39">
        <f>YearToDate!A17</f>
        <v>8</v>
      </c>
      <c r="B14" s="40" t="str">
        <f>VLOOKUP(A14,YearToDate!$A$9:$B$34,2,0)</f>
        <v>EMMANUELA LONGJAP</v>
      </c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47">
        <f t="shared" si="2"/>
        <v>0</v>
      </c>
      <c r="AI14" s="47">
        <f t="shared" si="1"/>
        <v>0</v>
      </c>
      <c r="AJ14" s="47">
        <f t="shared" si="1"/>
        <v>0</v>
      </c>
      <c r="AK14" s="47">
        <f t="shared" si="1"/>
        <v>0</v>
      </c>
      <c r="AL14" s="47">
        <f t="shared" si="1"/>
        <v>0</v>
      </c>
      <c r="AM14" s="47">
        <f t="shared" si="1"/>
        <v>0</v>
      </c>
      <c r="AN14" s="47">
        <f t="shared" si="1"/>
        <v>0</v>
      </c>
      <c r="AO14" s="47">
        <f t="shared" si="1"/>
        <v>0</v>
      </c>
    </row>
    <row r="15" spans="1:41" ht="16.5" customHeight="1" x14ac:dyDescent="0.25">
      <c r="A15" s="39">
        <f>YearToDate!A18</f>
        <v>9</v>
      </c>
      <c r="B15" s="40" t="str">
        <f>VLOOKUP(A15,YearToDate!$A$9:$B$34,2,0)</f>
        <v xml:space="preserve">OLUCHI EZE 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47">
        <f t="shared" si="2"/>
        <v>0</v>
      </c>
      <c r="AI15" s="47">
        <f t="shared" si="1"/>
        <v>0</v>
      </c>
      <c r="AJ15" s="47">
        <f t="shared" si="1"/>
        <v>0</v>
      </c>
      <c r="AK15" s="47">
        <f t="shared" si="1"/>
        <v>0</v>
      </c>
      <c r="AL15" s="47">
        <f t="shared" si="1"/>
        <v>0</v>
      </c>
      <c r="AM15" s="47">
        <f t="shared" si="1"/>
        <v>0</v>
      </c>
      <c r="AN15" s="47">
        <f t="shared" si="1"/>
        <v>0</v>
      </c>
      <c r="AO15" s="47">
        <f t="shared" si="1"/>
        <v>0</v>
      </c>
    </row>
    <row r="16" spans="1:41" ht="16.5" customHeight="1" x14ac:dyDescent="0.25">
      <c r="A16" s="39">
        <f>YearToDate!A19</f>
        <v>10</v>
      </c>
      <c r="B16" s="40" t="str">
        <f>VLOOKUP(A16,YearToDate!$A$9:$B$34,2,0)</f>
        <v>NURA ABDULLAHI</v>
      </c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47">
        <f t="shared" si="2"/>
        <v>0</v>
      </c>
      <c r="AI16" s="47">
        <f t="shared" si="1"/>
        <v>0</v>
      </c>
      <c r="AJ16" s="47">
        <f t="shared" si="1"/>
        <v>0</v>
      </c>
      <c r="AK16" s="47">
        <f t="shared" si="1"/>
        <v>0</v>
      </c>
      <c r="AL16" s="47">
        <f t="shared" si="1"/>
        <v>0</v>
      </c>
      <c r="AM16" s="47">
        <f t="shared" si="1"/>
        <v>0</v>
      </c>
      <c r="AN16" s="47">
        <f t="shared" si="1"/>
        <v>0</v>
      </c>
      <c r="AO16" s="47">
        <f t="shared" si="1"/>
        <v>0</v>
      </c>
    </row>
    <row r="17" spans="1:41" ht="16.5" customHeight="1" x14ac:dyDescent="0.25">
      <c r="A17" s="39">
        <f>YearToDate!A20</f>
        <v>11</v>
      </c>
      <c r="B17" s="40" t="str">
        <f>VLOOKUP(A17,YearToDate!$A$9:$B$34,2,0)</f>
        <v>VERA EGELAMBA EZINNE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47">
        <f t="shared" si="2"/>
        <v>0</v>
      </c>
      <c r="AI17" s="47">
        <f t="shared" si="2"/>
        <v>0</v>
      </c>
      <c r="AJ17" s="47">
        <f t="shared" si="2"/>
        <v>0</v>
      </c>
      <c r="AK17" s="47">
        <f t="shared" si="2"/>
        <v>0</v>
      </c>
      <c r="AL17" s="47">
        <f t="shared" si="2"/>
        <v>0</v>
      </c>
      <c r="AM17" s="47">
        <f t="shared" si="2"/>
        <v>0</v>
      </c>
      <c r="AN17" s="47">
        <f t="shared" si="2"/>
        <v>0</v>
      </c>
      <c r="AO17" s="47">
        <f t="shared" si="2"/>
        <v>0</v>
      </c>
    </row>
    <row r="18" spans="1:41" ht="16.5" customHeight="1" x14ac:dyDescent="0.25">
      <c r="A18" s="39">
        <f>YearToDate!A21</f>
        <v>18</v>
      </c>
      <c r="B18" s="40" t="str">
        <f>VLOOKUP(A18,YearToDate!$A$9:$B$34,2,0)</f>
        <v>NAIMA LABARAN DABO</v>
      </c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47">
        <f t="shared" si="2"/>
        <v>0</v>
      </c>
      <c r="AI18" s="47">
        <f t="shared" si="2"/>
        <v>0</v>
      </c>
      <c r="AJ18" s="47">
        <f t="shared" si="2"/>
        <v>0</v>
      </c>
      <c r="AK18" s="47">
        <f t="shared" si="2"/>
        <v>0</v>
      </c>
      <c r="AL18" s="47">
        <f t="shared" si="2"/>
        <v>0</v>
      </c>
      <c r="AM18" s="47">
        <f t="shared" si="2"/>
        <v>0</v>
      </c>
      <c r="AN18" s="47">
        <f t="shared" si="2"/>
        <v>0</v>
      </c>
      <c r="AO18" s="47">
        <f t="shared" si="2"/>
        <v>0</v>
      </c>
    </row>
    <row r="19" spans="1:41" ht="16.5" customHeight="1" x14ac:dyDescent="0.25">
      <c r="A19" s="39">
        <f>YearToDate!A22</f>
        <v>19</v>
      </c>
      <c r="B19" s="40">
        <f>VLOOKUP(A19,YearToDate!$A$9:$B$34,2,0)</f>
        <v>0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47">
        <f t="shared" si="2"/>
        <v>0</v>
      </c>
      <c r="AI19" s="47">
        <f t="shared" si="2"/>
        <v>0</v>
      </c>
      <c r="AJ19" s="47">
        <f t="shared" si="2"/>
        <v>0</v>
      </c>
      <c r="AK19" s="47">
        <f t="shared" si="2"/>
        <v>0</v>
      </c>
      <c r="AL19" s="47">
        <f t="shared" si="2"/>
        <v>0</v>
      </c>
      <c r="AM19" s="47">
        <f t="shared" si="2"/>
        <v>0</v>
      </c>
      <c r="AN19" s="47">
        <f t="shared" si="2"/>
        <v>0</v>
      </c>
      <c r="AO19" s="47">
        <f t="shared" si="2"/>
        <v>0</v>
      </c>
    </row>
    <row r="20" spans="1:41" ht="16.5" customHeight="1" x14ac:dyDescent="0.25">
      <c r="A20" s="39">
        <f>YearToDate!A23</f>
        <v>20</v>
      </c>
      <c r="B20" s="40">
        <f>VLOOKUP(A20,YearToDate!$A$9:$B$34,2,0)</f>
        <v>0</v>
      </c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47">
        <f t="shared" si="2"/>
        <v>0</v>
      </c>
      <c r="AI20" s="47">
        <f t="shared" si="2"/>
        <v>0</v>
      </c>
      <c r="AJ20" s="47">
        <f t="shared" si="2"/>
        <v>0</v>
      </c>
      <c r="AK20" s="47">
        <f t="shared" si="2"/>
        <v>0</v>
      </c>
      <c r="AL20" s="47">
        <f t="shared" si="2"/>
        <v>0</v>
      </c>
      <c r="AM20" s="47">
        <f t="shared" si="2"/>
        <v>0</v>
      </c>
      <c r="AN20" s="47">
        <f t="shared" si="2"/>
        <v>0</v>
      </c>
      <c r="AO20" s="47">
        <f t="shared" si="2"/>
        <v>0</v>
      </c>
    </row>
    <row r="21" spans="1:41" ht="16.5" customHeight="1" x14ac:dyDescent="0.25">
      <c r="A21" s="39">
        <f>YearToDate!A24</f>
        <v>21</v>
      </c>
      <c r="B21" s="40">
        <f>VLOOKUP(A21,YearToDate!$A$9:$B$34,2,0)</f>
        <v>0</v>
      </c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47">
        <f t="shared" si="2"/>
        <v>0</v>
      </c>
      <c r="AI21" s="47">
        <f t="shared" si="2"/>
        <v>0</v>
      </c>
      <c r="AJ21" s="47">
        <f t="shared" si="2"/>
        <v>0</v>
      </c>
      <c r="AK21" s="47">
        <f t="shared" si="2"/>
        <v>0</v>
      </c>
      <c r="AL21" s="47">
        <f t="shared" si="2"/>
        <v>0</v>
      </c>
      <c r="AM21" s="47">
        <f t="shared" si="2"/>
        <v>0</v>
      </c>
      <c r="AN21" s="47">
        <f t="shared" si="2"/>
        <v>0</v>
      </c>
      <c r="AO21" s="47">
        <f t="shared" si="2"/>
        <v>0</v>
      </c>
    </row>
    <row r="22" spans="1:41" ht="16.5" customHeight="1" x14ac:dyDescent="0.25">
      <c r="A22" s="39">
        <f>YearToDate!A25</f>
        <v>22</v>
      </c>
      <c r="B22" s="40">
        <f>VLOOKUP(A22,YearToDate!$A$9:$B$34,2,0)</f>
        <v>0</v>
      </c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47">
        <f t="shared" si="2"/>
        <v>0</v>
      </c>
      <c r="AI22" s="47">
        <f t="shared" si="2"/>
        <v>0</v>
      </c>
      <c r="AJ22" s="47">
        <f t="shared" si="2"/>
        <v>0</v>
      </c>
      <c r="AK22" s="47">
        <f t="shared" si="2"/>
        <v>0</v>
      </c>
      <c r="AL22" s="47">
        <f t="shared" si="2"/>
        <v>0</v>
      </c>
      <c r="AM22" s="47">
        <f t="shared" si="2"/>
        <v>0</v>
      </c>
      <c r="AN22" s="47">
        <f t="shared" si="2"/>
        <v>0</v>
      </c>
      <c r="AO22" s="47">
        <f t="shared" si="2"/>
        <v>0</v>
      </c>
    </row>
    <row r="23" spans="1:41" ht="16.5" customHeight="1" x14ac:dyDescent="0.25">
      <c r="A23" s="39">
        <f>YearToDate!A26</f>
        <v>23</v>
      </c>
      <c r="B23" s="40">
        <f>VLOOKUP(A23,YearToDate!$A$9:$B$34,2,0)</f>
        <v>0</v>
      </c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47">
        <f t="shared" si="2"/>
        <v>0</v>
      </c>
      <c r="AI23" s="47">
        <f t="shared" si="2"/>
        <v>0</v>
      </c>
      <c r="AJ23" s="47">
        <f t="shared" si="2"/>
        <v>0</v>
      </c>
      <c r="AK23" s="47">
        <f t="shared" si="2"/>
        <v>0</v>
      </c>
      <c r="AL23" s="47">
        <f t="shared" si="2"/>
        <v>0</v>
      </c>
      <c r="AM23" s="47">
        <f t="shared" si="2"/>
        <v>0</v>
      </c>
      <c r="AN23" s="47">
        <f t="shared" si="2"/>
        <v>0</v>
      </c>
      <c r="AO23" s="47">
        <f t="shared" si="2"/>
        <v>0</v>
      </c>
    </row>
    <row r="24" spans="1:41" ht="16.5" customHeight="1" x14ac:dyDescent="0.25">
      <c r="A24" s="39">
        <f>YearToDate!A27</f>
        <v>24</v>
      </c>
      <c r="B24" s="40">
        <f>VLOOKUP(A24,YearToDate!$A$9:$B$34,2,0)</f>
        <v>0</v>
      </c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47">
        <f t="shared" si="2"/>
        <v>0</v>
      </c>
      <c r="AI24" s="47">
        <f t="shared" si="2"/>
        <v>0</v>
      </c>
      <c r="AJ24" s="47">
        <f t="shared" si="2"/>
        <v>0</v>
      </c>
      <c r="AK24" s="47">
        <f t="shared" si="2"/>
        <v>0</v>
      </c>
      <c r="AL24" s="47">
        <f t="shared" si="2"/>
        <v>0</v>
      </c>
      <c r="AM24" s="47">
        <f t="shared" si="2"/>
        <v>0</v>
      </c>
      <c r="AN24" s="47">
        <f t="shared" si="2"/>
        <v>0</v>
      </c>
      <c r="AO24" s="47">
        <f t="shared" si="2"/>
        <v>0</v>
      </c>
    </row>
    <row r="25" spans="1:41" ht="16.5" customHeight="1" x14ac:dyDescent="0.25">
      <c r="A25" s="39">
        <f>YearToDate!A28</f>
        <v>25</v>
      </c>
      <c r="B25" s="40">
        <f>VLOOKUP(A25,YearToDate!$A$9:$B$34,2,0)</f>
        <v>0</v>
      </c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47">
        <f t="shared" si="2"/>
        <v>0</v>
      </c>
      <c r="AI25" s="47">
        <f t="shared" si="2"/>
        <v>0</v>
      </c>
      <c r="AJ25" s="47">
        <f t="shared" si="2"/>
        <v>0</v>
      </c>
      <c r="AK25" s="47">
        <f t="shared" si="2"/>
        <v>0</v>
      </c>
      <c r="AL25" s="47">
        <f t="shared" si="2"/>
        <v>0</v>
      </c>
      <c r="AM25" s="47">
        <f t="shared" si="2"/>
        <v>0</v>
      </c>
      <c r="AN25" s="47">
        <f t="shared" si="2"/>
        <v>0</v>
      </c>
      <c r="AO25" s="47">
        <f t="shared" si="2"/>
        <v>0</v>
      </c>
    </row>
    <row r="26" spans="1:41" ht="16.5" customHeight="1" x14ac:dyDescent="0.25">
      <c r="A26" s="39">
        <f>YearToDate!A29</f>
        <v>26</v>
      </c>
      <c r="B26" s="40">
        <f>VLOOKUP(A26,YearToDate!$A$9:$B$34,2,0)</f>
        <v>0</v>
      </c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47">
        <f t="shared" si="2"/>
        <v>0</v>
      </c>
      <c r="AI26" s="47">
        <f t="shared" si="2"/>
        <v>0</v>
      </c>
      <c r="AJ26" s="47">
        <f t="shared" si="2"/>
        <v>0</v>
      </c>
      <c r="AK26" s="47">
        <f t="shared" si="2"/>
        <v>0</v>
      </c>
      <c r="AL26" s="47">
        <f t="shared" si="2"/>
        <v>0</v>
      </c>
      <c r="AM26" s="47">
        <f t="shared" si="2"/>
        <v>0</v>
      </c>
      <c r="AN26" s="47">
        <f t="shared" si="2"/>
        <v>0</v>
      </c>
      <c r="AO26" s="47">
        <f t="shared" si="2"/>
        <v>0</v>
      </c>
    </row>
    <row r="27" spans="1:41" ht="16.5" customHeight="1" x14ac:dyDescent="0.25">
      <c r="A27" s="39">
        <f>YearToDate!A30</f>
        <v>27</v>
      </c>
      <c r="B27" s="40">
        <f>VLOOKUP(A27,YearToDate!$A$9:$B$34,2,0)</f>
        <v>0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47">
        <f t="shared" si="2"/>
        <v>0</v>
      </c>
      <c r="AI27" s="47">
        <f t="shared" si="2"/>
        <v>0</v>
      </c>
      <c r="AJ27" s="47">
        <f t="shared" si="2"/>
        <v>0</v>
      </c>
      <c r="AK27" s="47">
        <f t="shared" si="2"/>
        <v>0</v>
      </c>
      <c r="AL27" s="47">
        <f t="shared" si="2"/>
        <v>0</v>
      </c>
      <c r="AM27" s="47">
        <f t="shared" si="2"/>
        <v>0</v>
      </c>
      <c r="AN27" s="47">
        <f t="shared" si="2"/>
        <v>0</v>
      </c>
      <c r="AO27" s="47">
        <f t="shared" si="2"/>
        <v>0</v>
      </c>
    </row>
    <row r="28" spans="1:41" ht="16.5" customHeight="1" x14ac:dyDescent="0.25">
      <c r="A28" s="39">
        <f>YearToDate!A31</f>
        <v>28</v>
      </c>
      <c r="B28" s="40">
        <f>VLOOKUP(A28,YearToDate!$A$9:$B$34,2,0)</f>
        <v>0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47">
        <f t="shared" si="2"/>
        <v>0</v>
      </c>
      <c r="AI28" s="47">
        <f t="shared" si="2"/>
        <v>0</v>
      </c>
      <c r="AJ28" s="47">
        <f t="shared" si="2"/>
        <v>0</v>
      </c>
      <c r="AK28" s="47">
        <f t="shared" si="2"/>
        <v>0</v>
      </c>
      <c r="AL28" s="47">
        <f t="shared" si="2"/>
        <v>0</v>
      </c>
      <c r="AM28" s="47">
        <f t="shared" si="2"/>
        <v>0</v>
      </c>
      <c r="AN28" s="47">
        <f t="shared" si="2"/>
        <v>0</v>
      </c>
      <c r="AO28" s="47">
        <f t="shared" si="2"/>
        <v>0</v>
      </c>
    </row>
    <row r="29" spans="1:41" ht="16.5" customHeight="1" x14ac:dyDescent="0.25">
      <c r="A29" s="39">
        <f>YearToDate!A32</f>
        <v>29</v>
      </c>
      <c r="B29" s="40">
        <f>VLOOKUP(A29,YearToDate!$A$9:$B$34,2,0)</f>
        <v>0</v>
      </c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47">
        <f t="shared" si="2"/>
        <v>0</v>
      </c>
      <c r="AI29" s="47">
        <f t="shared" si="2"/>
        <v>0</v>
      </c>
      <c r="AJ29" s="47">
        <f t="shared" si="2"/>
        <v>0</v>
      </c>
      <c r="AK29" s="47">
        <f t="shared" si="2"/>
        <v>0</v>
      </c>
      <c r="AL29" s="47">
        <f t="shared" si="2"/>
        <v>0</v>
      </c>
      <c r="AM29" s="47">
        <f t="shared" si="2"/>
        <v>0</v>
      </c>
      <c r="AN29" s="47">
        <f t="shared" si="2"/>
        <v>0</v>
      </c>
      <c r="AO29" s="47">
        <f t="shared" si="2"/>
        <v>0</v>
      </c>
    </row>
    <row r="30" spans="1:41" s="28" customFormat="1" ht="16.5" customHeight="1" x14ac:dyDescent="0.25">
      <c r="A30" s="32"/>
      <c r="B30" s="33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48"/>
      <c r="AI30" s="48"/>
      <c r="AJ30" s="48"/>
      <c r="AK30" s="48"/>
      <c r="AL30" s="48"/>
      <c r="AM30" s="48"/>
      <c r="AN30" s="48"/>
      <c r="AO30" s="48"/>
    </row>
    <row r="31" spans="1:41" ht="16.5" customHeight="1" x14ac:dyDescent="0.25">
      <c r="A31" s="29" t="str">
        <f>HYPERLINK("https://www.vertex42.com/templates/employee-leave-tracker.html","https://www.vertex42.com/templates/employee-leave-tracker.html")</f>
        <v>https://www.vertex42.com/templates/employee-leave-tracker.html</v>
      </c>
      <c r="B31" s="35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AG31" s="37" t="s">
        <v>40</v>
      </c>
      <c r="AH31" s="49">
        <f>SUM(AH7:AH30)</f>
        <v>0</v>
      </c>
      <c r="AI31" s="49">
        <f>SUM(AI7:AI30)</f>
        <v>0</v>
      </c>
      <c r="AJ31" s="49">
        <f>SUM(AJ7:AJ30)</f>
        <v>0</v>
      </c>
      <c r="AK31" s="49">
        <f>SUM(AK7:AK30)</f>
        <v>0</v>
      </c>
      <c r="AL31" s="49">
        <f>SUM(AL7:AL30)</f>
        <v>0</v>
      </c>
      <c r="AM31" s="49">
        <f t="shared" ref="AM31:AN31" si="3">SUM(AM7:AM30)</f>
        <v>0</v>
      </c>
      <c r="AN31" s="49">
        <f t="shared" si="3"/>
        <v>0</v>
      </c>
      <c r="AO31" s="49">
        <f>SUM(AO7:AO30)</f>
        <v>0</v>
      </c>
    </row>
    <row r="32" spans="1:41" x14ac:dyDescent="0.25">
      <c r="A32" s="73"/>
      <c r="B32" s="73"/>
    </row>
  </sheetData>
  <mergeCells count="3">
    <mergeCell ref="A32:B32"/>
    <mergeCell ref="C4:AG4"/>
    <mergeCell ref="AH4:AO4"/>
  </mergeCells>
  <conditionalFormatting sqref="C6:AG6">
    <cfRule type="expression" dxfId="47" priority="2" stopIfTrue="1">
      <formula>OR(WEEKDAY(C$6,1)=1,WEEKDAY(C$6,1)=7)</formula>
    </cfRule>
    <cfRule type="cellIs" dxfId="46" priority="3" stopIfTrue="1" operator="equal">
      <formula>""</formula>
    </cfRule>
  </conditionalFormatting>
  <conditionalFormatting sqref="C7:AG29">
    <cfRule type="expression" dxfId="45" priority="4" stopIfTrue="1">
      <formula>OR(WEEKDAY(C$6)=1,WEEKDAY(C$6)=7)</formula>
    </cfRule>
    <cfRule type="expression" dxfId="44" priority="5" stopIfTrue="1">
      <formula>C$6=""</formula>
    </cfRule>
  </conditionalFormatting>
  <dataValidations count="1">
    <dataValidation type="list" allowBlank="1" sqref="C7:AG29">
      <formula1>$AH$6:$AO$6</formula1>
    </dataValidation>
  </dataValidations>
  <printOptions horizontalCentered="1"/>
  <pageMargins left="0.25" right="0.25" top="0.25" bottom="0.25" header="0.5" footer="0.5"/>
  <pageSetup scale="9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O32"/>
  <sheetViews>
    <sheetView showGridLines="0" topLeftCell="A3" zoomScale="90" zoomScaleNormal="90" workbookViewId="0">
      <selection activeCell="AI6" sqref="AI6"/>
    </sheetView>
  </sheetViews>
  <sheetFormatPr defaultColWidth="9.1796875" defaultRowHeight="12.5" x14ac:dyDescent="0.25"/>
  <cols>
    <col min="1" max="1" width="5.453125" style="18" customWidth="1"/>
    <col min="2" max="2" width="24.1796875" style="18" customWidth="1"/>
    <col min="3" max="33" width="3.26953125" style="18" customWidth="1"/>
    <col min="34" max="41" width="4.26953125" style="18" customWidth="1"/>
    <col min="42" max="16384" width="9.1796875" style="18"/>
  </cols>
  <sheetData>
    <row r="1" spans="1:41" ht="26.25" customHeight="1" x14ac:dyDescent="0.25">
      <c r="A1" s="17" t="str">
        <f>"May "&amp;YearToDate!$B$3</f>
        <v>May 2024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26" t="s">
        <v>0</v>
      </c>
    </row>
    <row r="2" spans="1:41" x14ac:dyDescent="0.25">
      <c r="AO2" s="27" t="s">
        <v>39</v>
      </c>
    </row>
    <row r="4" spans="1:41" ht="22" customHeight="1" x14ac:dyDescent="0.25">
      <c r="A4" s="60" t="s">
        <v>6</v>
      </c>
      <c r="B4" s="61"/>
      <c r="C4" s="74" t="str">
        <f>YearToDate!$A$5</f>
        <v>A = Annual,  S = Sick, M = Maternity, CM = Compationate, T = Terminal leave, ST = Study, E = Examination, CA = Casual</v>
      </c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1" t="s">
        <v>36</v>
      </c>
      <c r="AI4" s="71"/>
      <c r="AJ4" s="71"/>
      <c r="AK4" s="71"/>
      <c r="AL4" s="71"/>
      <c r="AM4" s="71"/>
      <c r="AN4" s="71"/>
      <c r="AO4" s="71"/>
    </row>
    <row r="5" spans="1:41" ht="16.5" customHeight="1" x14ac:dyDescent="0.25">
      <c r="A5" s="58"/>
      <c r="B5" s="59"/>
      <c r="C5" s="30" t="str">
        <f>IF(C6="","",INDEX({"Su";"M";"Tu";"W";"Th";"F";"Sa"},WEEKDAY(C6,1)))</f>
        <v>W</v>
      </c>
      <c r="D5" s="30" t="str">
        <f>IF(D6="","",INDEX({"Su";"M";"Tu";"W";"Th";"F";"Sa"},WEEKDAY(D6,1)))</f>
        <v>Th</v>
      </c>
      <c r="E5" s="30" t="str">
        <f>IF(E6="","",INDEX({"Su";"M";"Tu";"W";"Th";"F";"Sa"},WEEKDAY(E6,1)))</f>
        <v>F</v>
      </c>
      <c r="F5" s="30" t="str">
        <f>IF(F6="","",INDEX({"Su";"M";"Tu";"W";"Th";"F";"Sa"},WEEKDAY(F6,1)))</f>
        <v>Sa</v>
      </c>
      <c r="G5" s="30" t="str">
        <f>IF(G6="","",INDEX({"Su";"M";"Tu";"W";"Th";"F";"Sa"},WEEKDAY(G6,1)))</f>
        <v>Su</v>
      </c>
      <c r="H5" s="30" t="str">
        <f>IF(H6="","",INDEX({"Su";"M";"Tu";"W";"Th";"F";"Sa"},WEEKDAY(H6,1)))</f>
        <v>M</v>
      </c>
      <c r="I5" s="30" t="str">
        <f>IF(I6="","",INDEX({"Su";"M";"Tu";"W";"Th";"F";"Sa"},WEEKDAY(I6,1)))</f>
        <v>Tu</v>
      </c>
      <c r="J5" s="30" t="str">
        <f>IF(J6="","",INDEX({"Su";"M";"Tu";"W";"Th";"F";"Sa"},WEEKDAY(J6,1)))</f>
        <v>W</v>
      </c>
      <c r="K5" s="30" t="str">
        <f>IF(K6="","",INDEX({"Su";"M";"Tu";"W";"Th";"F";"Sa"},WEEKDAY(K6,1)))</f>
        <v>Th</v>
      </c>
      <c r="L5" s="30" t="str">
        <f>IF(L6="","",INDEX({"Su";"M";"Tu";"W";"Th";"F";"Sa"},WEEKDAY(L6,1)))</f>
        <v>F</v>
      </c>
      <c r="M5" s="30" t="str">
        <f>IF(M6="","",INDEX({"Su";"M";"Tu";"W";"Th";"F";"Sa"},WEEKDAY(M6,1)))</f>
        <v>Sa</v>
      </c>
      <c r="N5" s="30" t="str">
        <f>IF(N6="","",INDEX({"Su";"M";"Tu";"W";"Th";"F";"Sa"},WEEKDAY(N6,1)))</f>
        <v>Su</v>
      </c>
      <c r="O5" s="30" t="str">
        <f>IF(O6="","",INDEX({"Su";"M";"Tu";"W";"Th";"F";"Sa"},WEEKDAY(O6,1)))</f>
        <v>M</v>
      </c>
      <c r="P5" s="30" t="str">
        <f>IF(P6="","",INDEX({"Su";"M";"Tu";"W";"Th";"F";"Sa"},WEEKDAY(P6,1)))</f>
        <v>Tu</v>
      </c>
      <c r="Q5" s="30" t="str">
        <f>IF(Q6="","",INDEX({"Su";"M";"Tu";"W";"Th";"F";"Sa"},WEEKDAY(Q6,1)))</f>
        <v>W</v>
      </c>
      <c r="R5" s="30" t="str">
        <f>IF(R6="","",INDEX({"Su";"M";"Tu";"W";"Th";"F";"Sa"},WEEKDAY(R6,1)))</f>
        <v>Th</v>
      </c>
      <c r="S5" s="30" t="str">
        <f>IF(S6="","",INDEX({"Su";"M";"Tu";"W";"Th";"F";"Sa"},WEEKDAY(S6,1)))</f>
        <v>F</v>
      </c>
      <c r="T5" s="30" t="str">
        <f>IF(T6="","",INDEX({"Su";"M";"Tu";"W";"Th";"F";"Sa"},WEEKDAY(T6,1)))</f>
        <v>Sa</v>
      </c>
      <c r="U5" s="30" t="str">
        <f>IF(U6="","",INDEX({"Su";"M";"Tu";"W";"Th";"F";"Sa"},WEEKDAY(U6,1)))</f>
        <v>Su</v>
      </c>
      <c r="V5" s="30" t="str">
        <f>IF(V6="","",INDEX({"Su";"M";"Tu";"W";"Th";"F";"Sa"},WEEKDAY(V6,1)))</f>
        <v>M</v>
      </c>
      <c r="W5" s="30" t="str">
        <f>IF(W6="","",INDEX({"Su";"M";"Tu";"W";"Th";"F";"Sa"},WEEKDAY(W6,1)))</f>
        <v>Tu</v>
      </c>
      <c r="X5" s="30" t="str">
        <f>IF(X6="","",INDEX({"Su";"M";"Tu";"W";"Th";"F";"Sa"},WEEKDAY(X6,1)))</f>
        <v>W</v>
      </c>
      <c r="Y5" s="30" t="str">
        <f>IF(Y6="","",INDEX({"Su";"M";"Tu";"W";"Th";"F";"Sa"},WEEKDAY(Y6,1)))</f>
        <v>Th</v>
      </c>
      <c r="Z5" s="30" t="str">
        <f>IF(Z6="","",INDEX({"Su";"M";"Tu";"W";"Th";"F";"Sa"},WEEKDAY(Z6,1)))</f>
        <v>F</v>
      </c>
      <c r="AA5" s="30" t="str">
        <f>IF(AA6="","",INDEX({"Su";"M";"Tu";"W";"Th";"F";"Sa"},WEEKDAY(AA6,1)))</f>
        <v>Sa</v>
      </c>
      <c r="AB5" s="30" t="str">
        <f>IF(AB6="","",INDEX({"Su";"M";"Tu";"W";"Th";"F";"Sa"},WEEKDAY(AB6,1)))</f>
        <v>Su</v>
      </c>
      <c r="AC5" s="30" t="str">
        <f>IF(AC6="","",INDEX({"Su";"M";"Tu";"W";"Th";"F";"Sa"},WEEKDAY(AC6,1)))</f>
        <v>M</v>
      </c>
      <c r="AD5" s="30" t="str">
        <f>IF(AD6="","",INDEX({"Su";"M";"Tu";"W";"Th";"F";"Sa"},WEEKDAY(AD6,1)))</f>
        <v>Tu</v>
      </c>
      <c r="AE5" s="30" t="str">
        <f>IF(AE6="","",INDEX({"Su";"M";"Tu";"W";"Th";"F";"Sa"},WEEKDAY(AE6,1)))</f>
        <v>W</v>
      </c>
      <c r="AF5" s="30" t="str">
        <f>IF(AF6="","",INDEX({"Su";"M";"Tu";"W";"Th";"F";"Sa"},WEEKDAY(AF6,1)))</f>
        <v>Th</v>
      </c>
      <c r="AG5" s="30" t="str">
        <f>IF(AG6="","",INDEX({"Su";"M";"Tu";"W";"Th";"F";"Sa"},WEEKDAY(AG6,1)))</f>
        <v>F</v>
      </c>
      <c r="AH5" s="62"/>
      <c r="AI5" s="62"/>
      <c r="AJ5" s="62"/>
      <c r="AK5" s="62"/>
      <c r="AL5" s="62"/>
      <c r="AM5" s="62"/>
      <c r="AN5" s="62"/>
      <c r="AO5" s="62"/>
    </row>
    <row r="6" spans="1:41" ht="16.5" customHeight="1" x14ac:dyDescent="0.25">
      <c r="A6" s="45" t="s">
        <v>8</v>
      </c>
      <c r="B6" s="38" t="s">
        <v>9</v>
      </c>
      <c r="C6" s="43">
        <f>DATE(YearToDate!$B$3,5,1)</f>
        <v>45413</v>
      </c>
      <c r="D6" s="43">
        <f>C6+1</f>
        <v>45414</v>
      </c>
      <c r="E6" s="43">
        <f t="shared" ref="E6:AD6" si="0">D6+1</f>
        <v>45415</v>
      </c>
      <c r="F6" s="43">
        <f t="shared" si="0"/>
        <v>45416</v>
      </c>
      <c r="G6" s="43">
        <f>F6+1</f>
        <v>45417</v>
      </c>
      <c r="H6" s="43">
        <f t="shared" si="0"/>
        <v>45418</v>
      </c>
      <c r="I6" s="43">
        <f t="shared" si="0"/>
        <v>45419</v>
      </c>
      <c r="J6" s="43">
        <f t="shared" si="0"/>
        <v>45420</v>
      </c>
      <c r="K6" s="43">
        <f t="shared" si="0"/>
        <v>45421</v>
      </c>
      <c r="L6" s="43">
        <f t="shared" si="0"/>
        <v>45422</v>
      </c>
      <c r="M6" s="43">
        <f t="shared" si="0"/>
        <v>45423</v>
      </c>
      <c r="N6" s="43">
        <f t="shared" si="0"/>
        <v>45424</v>
      </c>
      <c r="O6" s="43">
        <f t="shared" si="0"/>
        <v>45425</v>
      </c>
      <c r="P6" s="43">
        <f t="shared" si="0"/>
        <v>45426</v>
      </c>
      <c r="Q6" s="43">
        <f t="shared" si="0"/>
        <v>45427</v>
      </c>
      <c r="R6" s="43">
        <f t="shared" si="0"/>
        <v>45428</v>
      </c>
      <c r="S6" s="43">
        <f t="shared" si="0"/>
        <v>45429</v>
      </c>
      <c r="T6" s="43">
        <f t="shared" si="0"/>
        <v>45430</v>
      </c>
      <c r="U6" s="43">
        <f t="shared" si="0"/>
        <v>45431</v>
      </c>
      <c r="V6" s="43">
        <f t="shared" si="0"/>
        <v>45432</v>
      </c>
      <c r="W6" s="43">
        <f t="shared" si="0"/>
        <v>45433</v>
      </c>
      <c r="X6" s="43">
        <f t="shared" si="0"/>
        <v>45434</v>
      </c>
      <c r="Y6" s="43">
        <f t="shared" si="0"/>
        <v>45435</v>
      </c>
      <c r="Z6" s="43">
        <f t="shared" si="0"/>
        <v>45436</v>
      </c>
      <c r="AA6" s="43">
        <f t="shared" si="0"/>
        <v>45437</v>
      </c>
      <c r="AB6" s="43">
        <f t="shared" si="0"/>
        <v>45438</v>
      </c>
      <c r="AC6" s="43">
        <f t="shared" si="0"/>
        <v>45439</v>
      </c>
      <c r="AD6" s="43">
        <f t="shared" si="0"/>
        <v>45440</v>
      </c>
      <c r="AE6" s="43">
        <f>IF(MONTH($AD6+1)&gt;MONTH($C$6),"",$AD6+1)</f>
        <v>45441</v>
      </c>
      <c r="AF6" s="43">
        <f>IF(MONTH($AD6+2)&gt;MONTH($C$6),"",$AD6+2)</f>
        <v>45442</v>
      </c>
      <c r="AG6" s="43">
        <f>IF(MONTH($AD6+3)&gt;MONTH($C$6),"",$AD6+3)</f>
        <v>45443</v>
      </c>
      <c r="AH6" s="31" t="str">
        <f>YearToDate!C9</f>
        <v>A</v>
      </c>
      <c r="AI6" s="31" t="str">
        <f>YearToDate!E9</f>
        <v>S</v>
      </c>
      <c r="AJ6" s="31" t="str">
        <f>YearToDate!G9</f>
        <v>M</v>
      </c>
      <c r="AK6" s="31" t="str">
        <f>YearToDate!I9</f>
        <v>CM</v>
      </c>
      <c r="AL6" s="31" t="str">
        <f>YearToDate!K9</f>
        <v>T</v>
      </c>
      <c r="AM6" s="31" t="str">
        <f>YearToDate!M9</f>
        <v>ST</v>
      </c>
      <c r="AN6" s="31" t="str">
        <f>YearToDate!O9</f>
        <v>E</v>
      </c>
      <c r="AO6" s="31" t="str">
        <f>YearToDate!Q9</f>
        <v>CA</v>
      </c>
    </row>
    <row r="7" spans="1:41" ht="16.5" customHeight="1" x14ac:dyDescent="0.25">
      <c r="A7" s="39">
        <f>YearToDate!A10</f>
        <v>1</v>
      </c>
      <c r="B7" s="40" t="str">
        <f>VLOOKUP(A7,YearToDate!$A$9:$B$34,2,0)</f>
        <v>AHMAN ABDULJABBAR</v>
      </c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47">
        <f>COUNTIF($C7:$AG7,AH$6)+0.5*COUNTIF($C7:$AG7,AH$6&amp;"H")+0.5*COUNTIF($C7:$AG7,"H"&amp;AH$6)</f>
        <v>0</v>
      </c>
      <c r="AI7" s="47">
        <f t="shared" ref="AI7:AO16" si="1">COUNTIF($C7:$AG7,AI$6)+0.5*COUNTIF($C7:$AG7,AI$6&amp;"H")+0.5*COUNTIF($C7:$AG7,"H"&amp;AI$6)</f>
        <v>0</v>
      </c>
      <c r="AJ7" s="47">
        <f t="shared" si="1"/>
        <v>0</v>
      </c>
      <c r="AK7" s="47">
        <f t="shared" si="1"/>
        <v>0</v>
      </c>
      <c r="AL7" s="47">
        <f t="shared" si="1"/>
        <v>0</v>
      </c>
      <c r="AM7" s="47">
        <f t="shared" si="1"/>
        <v>0</v>
      </c>
      <c r="AN7" s="47">
        <f t="shared" si="1"/>
        <v>0</v>
      </c>
      <c r="AO7" s="47">
        <f t="shared" si="1"/>
        <v>0</v>
      </c>
    </row>
    <row r="8" spans="1:41" ht="16.5" customHeight="1" x14ac:dyDescent="0.25">
      <c r="A8" s="39">
        <f>YearToDate!A11</f>
        <v>2</v>
      </c>
      <c r="B8" s="40" t="str">
        <f>VLOOKUP(A8,YearToDate!$A$9:$B$34,2,0)</f>
        <v>ALIYU MUSA ABUBAKAR</v>
      </c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47">
        <f t="shared" ref="AH8:AO29" si="2">COUNTIF($C8:$AG8,AH$6)+0.5*COUNTIF($C8:$AG8,AH$6&amp;"H")+0.5*COUNTIF($C8:$AG8,"H"&amp;AH$6)</f>
        <v>0</v>
      </c>
      <c r="AI8" s="47">
        <f t="shared" si="1"/>
        <v>0</v>
      </c>
      <c r="AJ8" s="47">
        <f t="shared" si="1"/>
        <v>0</v>
      </c>
      <c r="AK8" s="47">
        <f t="shared" si="1"/>
        <v>0</v>
      </c>
      <c r="AL8" s="47">
        <f t="shared" si="1"/>
        <v>0</v>
      </c>
      <c r="AM8" s="47">
        <f t="shared" si="1"/>
        <v>0</v>
      </c>
      <c r="AN8" s="47">
        <f t="shared" si="1"/>
        <v>0</v>
      </c>
      <c r="AO8" s="47">
        <f t="shared" si="1"/>
        <v>0</v>
      </c>
    </row>
    <row r="9" spans="1:41" ht="16.5" customHeight="1" x14ac:dyDescent="0.25">
      <c r="A9" s="39">
        <f>YearToDate!A12</f>
        <v>3</v>
      </c>
      <c r="B9" s="40" t="str">
        <f>VLOOKUP(A9,YearToDate!$A$9:$B$34,2,0)</f>
        <v>GOSTA ALIYU</v>
      </c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47">
        <f t="shared" si="2"/>
        <v>0</v>
      </c>
      <c r="AI9" s="47">
        <f t="shared" si="1"/>
        <v>0</v>
      </c>
      <c r="AJ9" s="47">
        <f t="shared" si="1"/>
        <v>0</v>
      </c>
      <c r="AK9" s="47">
        <f t="shared" si="1"/>
        <v>0</v>
      </c>
      <c r="AL9" s="47">
        <f t="shared" si="1"/>
        <v>0</v>
      </c>
      <c r="AM9" s="47">
        <f t="shared" si="1"/>
        <v>0</v>
      </c>
      <c r="AN9" s="47">
        <f t="shared" si="1"/>
        <v>0</v>
      </c>
      <c r="AO9" s="47">
        <f t="shared" si="1"/>
        <v>0</v>
      </c>
    </row>
    <row r="10" spans="1:41" ht="16.5" customHeight="1" x14ac:dyDescent="0.25">
      <c r="A10" s="39">
        <f>YearToDate!A13</f>
        <v>4</v>
      </c>
      <c r="B10" s="40" t="str">
        <f>VLOOKUP(A10,YearToDate!$A$9:$B$34,2,0)</f>
        <v>IBRAHIM TUKURA RILWAN</v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47">
        <f t="shared" si="2"/>
        <v>0</v>
      </c>
      <c r="AI10" s="47">
        <f t="shared" si="1"/>
        <v>0</v>
      </c>
      <c r="AJ10" s="47">
        <f t="shared" si="1"/>
        <v>0</v>
      </c>
      <c r="AK10" s="47">
        <f t="shared" si="1"/>
        <v>0</v>
      </c>
      <c r="AL10" s="47">
        <f t="shared" si="1"/>
        <v>0</v>
      </c>
      <c r="AM10" s="47">
        <f t="shared" si="1"/>
        <v>0</v>
      </c>
      <c r="AN10" s="47">
        <f t="shared" si="1"/>
        <v>0</v>
      </c>
      <c r="AO10" s="47">
        <f t="shared" si="1"/>
        <v>0</v>
      </c>
    </row>
    <row r="11" spans="1:41" ht="16.5" customHeight="1" x14ac:dyDescent="0.25">
      <c r="A11" s="39">
        <f>YearToDate!A14</f>
        <v>5</v>
      </c>
      <c r="B11" s="40" t="str">
        <f>VLOOKUP(A11,YearToDate!$A$9:$B$34,2,0)</f>
        <v>HASSAN HABEEB</v>
      </c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47">
        <f t="shared" si="2"/>
        <v>0</v>
      </c>
      <c r="AI11" s="47">
        <f t="shared" si="1"/>
        <v>0</v>
      </c>
      <c r="AJ11" s="47">
        <f t="shared" si="1"/>
        <v>0</v>
      </c>
      <c r="AK11" s="47">
        <f t="shared" si="1"/>
        <v>0</v>
      </c>
      <c r="AL11" s="47">
        <f t="shared" si="1"/>
        <v>0</v>
      </c>
      <c r="AM11" s="47">
        <f t="shared" si="1"/>
        <v>0</v>
      </c>
      <c r="AN11" s="47">
        <f t="shared" si="1"/>
        <v>0</v>
      </c>
      <c r="AO11" s="47">
        <f t="shared" si="1"/>
        <v>0</v>
      </c>
    </row>
    <row r="12" spans="1:41" ht="16.5" customHeight="1" x14ac:dyDescent="0.25">
      <c r="A12" s="39">
        <f>YearToDate!A15</f>
        <v>6</v>
      </c>
      <c r="B12" s="40" t="str">
        <f>VLOOKUP(A12,YearToDate!$A$9:$B$34,2,0)</f>
        <v>SHEHU NABILA</v>
      </c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47">
        <f t="shared" si="2"/>
        <v>0</v>
      </c>
      <c r="AI12" s="47">
        <f t="shared" si="1"/>
        <v>0</v>
      </c>
      <c r="AJ12" s="47">
        <f t="shared" si="1"/>
        <v>0</v>
      </c>
      <c r="AK12" s="47">
        <f t="shared" si="1"/>
        <v>0</v>
      </c>
      <c r="AL12" s="47">
        <f t="shared" si="1"/>
        <v>0</v>
      </c>
      <c r="AM12" s="47">
        <f t="shared" si="1"/>
        <v>0</v>
      </c>
      <c r="AN12" s="47">
        <f t="shared" si="1"/>
        <v>0</v>
      </c>
      <c r="AO12" s="47">
        <f t="shared" si="1"/>
        <v>0</v>
      </c>
    </row>
    <row r="13" spans="1:41" ht="16.5" customHeight="1" x14ac:dyDescent="0.25">
      <c r="A13" s="39">
        <f>YearToDate!A16</f>
        <v>7</v>
      </c>
      <c r="B13" s="40" t="str">
        <f>VLOOKUP(A13,YearToDate!$A$9:$B$34,2,0)</f>
        <v>SULEMAN IBRAHIM</v>
      </c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47">
        <f t="shared" si="2"/>
        <v>0</v>
      </c>
      <c r="AI13" s="47">
        <f t="shared" si="1"/>
        <v>0</v>
      </c>
      <c r="AJ13" s="47">
        <f t="shared" si="1"/>
        <v>0</v>
      </c>
      <c r="AK13" s="47">
        <f t="shared" si="1"/>
        <v>0</v>
      </c>
      <c r="AL13" s="47">
        <f t="shared" si="1"/>
        <v>0</v>
      </c>
      <c r="AM13" s="47">
        <f t="shared" si="1"/>
        <v>0</v>
      </c>
      <c r="AN13" s="47">
        <f t="shared" si="1"/>
        <v>0</v>
      </c>
      <c r="AO13" s="47">
        <f t="shared" si="1"/>
        <v>0</v>
      </c>
    </row>
    <row r="14" spans="1:41" ht="16.5" customHeight="1" x14ac:dyDescent="0.25">
      <c r="A14" s="39">
        <f>YearToDate!A17</f>
        <v>8</v>
      </c>
      <c r="B14" s="40" t="str">
        <f>VLOOKUP(A14,YearToDate!$A$9:$B$34,2,0)</f>
        <v>EMMANUELA LONGJAP</v>
      </c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47">
        <f t="shared" si="2"/>
        <v>0</v>
      </c>
      <c r="AI14" s="47">
        <f t="shared" si="1"/>
        <v>0</v>
      </c>
      <c r="AJ14" s="47">
        <f t="shared" si="1"/>
        <v>0</v>
      </c>
      <c r="AK14" s="47">
        <f t="shared" si="1"/>
        <v>0</v>
      </c>
      <c r="AL14" s="47">
        <f t="shared" si="1"/>
        <v>0</v>
      </c>
      <c r="AM14" s="47">
        <f t="shared" si="1"/>
        <v>0</v>
      </c>
      <c r="AN14" s="47">
        <f t="shared" si="1"/>
        <v>0</v>
      </c>
      <c r="AO14" s="47">
        <f t="shared" si="1"/>
        <v>0</v>
      </c>
    </row>
    <row r="15" spans="1:41" ht="16.5" customHeight="1" x14ac:dyDescent="0.25">
      <c r="A15" s="39">
        <f>YearToDate!A18</f>
        <v>9</v>
      </c>
      <c r="B15" s="40" t="str">
        <f>VLOOKUP(A15,YearToDate!$A$9:$B$34,2,0)</f>
        <v xml:space="preserve">OLUCHI EZE 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47">
        <f t="shared" si="2"/>
        <v>0</v>
      </c>
      <c r="AI15" s="47">
        <f t="shared" si="1"/>
        <v>0</v>
      </c>
      <c r="AJ15" s="47">
        <f t="shared" si="1"/>
        <v>0</v>
      </c>
      <c r="AK15" s="47">
        <f t="shared" si="1"/>
        <v>0</v>
      </c>
      <c r="AL15" s="47">
        <f t="shared" si="1"/>
        <v>0</v>
      </c>
      <c r="AM15" s="47">
        <f t="shared" si="1"/>
        <v>0</v>
      </c>
      <c r="AN15" s="47">
        <f t="shared" si="1"/>
        <v>0</v>
      </c>
      <c r="AO15" s="47">
        <f t="shared" si="1"/>
        <v>0</v>
      </c>
    </row>
    <row r="16" spans="1:41" ht="16.5" customHeight="1" x14ac:dyDescent="0.25">
      <c r="A16" s="39">
        <f>YearToDate!A19</f>
        <v>10</v>
      </c>
      <c r="B16" s="40" t="str">
        <f>VLOOKUP(A16,YearToDate!$A$9:$B$34,2,0)</f>
        <v>NURA ABDULLAHI</v>
      </c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47">
        <f t="shared" si="2"/>
        <v>0</v>
      </c>
      <c r="AI16" s="47">
        <f t="shared" si="1"/>
        <v>0</v>
      </c>
      <c r="AJ16" s="47">
        <f t="shared" si="1"/>
        <v>0</v>
      </c>
      <c r="AK16" s="47">
        <f t="shared" si="1"/>
        <v>0</v>
      </c>
      <c r="AL16" s="47">
        <f t="shared" si="1"/>
        <v>0</v>
      </c>
      <c r="AM16" s="47">
        <f t="shared" si="1"/>
        <v>0</v>
      </c>
      <c r="AN16" s="47">
        <f t="shared" si="1"/>
        <v>0</v>
      </c>
      <c r="AO16" s="47">
        <f t="shared" si="1"/>
        <v>0</v>
      </c>
    </row>
    <row r="17" spans="1:41" ht="16.5" customHeight="1" x14ac:dyDescent="0.25">
      <c r="A17" s="39">
        <f>YearToDate!A20</f>
        <v>11</v>
      </c>
      <c r="B17" s="40" t="str">
        <f>VLOOKUP(A17,YearToDate!$A$9:$B$34,2,0)</f>
        <v>VERA EGELAMBA EZINNE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47">
        <f t="shared" si="2"/>
        <v>0</v>
      </c>
      <c r="AI17" s="47">
        <f t="shared" si="2"/>
        <v>0</v>
      </c>
      <c r="AJ17" s="47">
        <f t="shared" si="2"/>
        <v>0</v>
      </c>
      <c r="AK17" s="47">
        <f t="shared" si="2"/>
        <v>0</v>
      </c>
      <c r="AL17" s="47">
        <f t="shared" si="2"/>
        <v>0</v>
      </c>
      <c r="AM17" s="47">
        <f t="shared" si="2"/>
        <v>0</v>
      </c>
      <c r="AN17" s="47">
        <f t="shared" si="2"/>
        <v>0</v>
      </c>
      <c r="AO17" s="47">
        <f t="shared" si="2"/>
        <v>0</v>
      </c>
    </row>
    <row r="18" spans="1:41" ht="16.5" customHeight="1" x14ac:dyDescent="0.25">
      <c r="A18" s="39">
        <f>YearToDate!A21</f>
        <v>18</v>
      </c>
      <c r="B18" s="40" t="str">
        <f>VLOOKUP(A18,YearToDate!$A$9:$B$34,2,0)</f>
        <v>NAIMA LABARAN DABO</v>
      </c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47">
        <f t="shared" si="2"/>
        <v>0</v>
      </c>
      <c r="AI18" s="47">
        <f t="shared" si="2"/>
        <v>0</v>
      </c>
      <c r="AJ18" s="47">
        <f t="shared" si="2"/>
        <v>0</v>
      </c>
      <c r="AK18" s="47">
        <f t="shared" si="2"/>
        <v>0</v>
      </c>
      <c r="AL18" s="47">
        <f t="shared" si="2"/>
        <v>0</v>
      </c>
      <c r="AM18" s="47">
        <f t="shared" si="2"/>
        <v>0</v>
      </c>
      <c r="AN18" s="47">
        <f t="shared" si="2"/>
        <v>0</v>
      </c>
      <c r="AO18" s="47">
        <f t="shared" si="2"/>
        <v>0</v>
      </c>
    </row>
    <row r="19" spans="1:41" ht="16.5" customHeight="1" x14ac:dyDescent="0.25">
      <c r="A19" s="39">
        <f>YearToDate!A22</f>
        <v>19</v>
      </c>
      <c r="B19" s="40">
        <f>VLOOKUP(A19,YearToDate!$A$9:$B$34,2,0)</f>
        <v>0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47">
        <f t="shared" si="2"/>
        <v>0</v>
      </c>
      <c r="AI19" s="47">
        <f t="shared" si="2"/>
        <v>0</v>
      </c>
      <c r="AJ19" s="47">
        <f t="shared" si="2"/>
        <v>0</v>
      </c>
      <c r="AK19" s="47">
        <f t="shared" si="2"/>
        <v>0</v>
      </c>
      <c r="AL19" s="47">
        <f t="shared" si="2"/>
        <v>0</v>
      </c>
      <c r="AM19" s="47">
        <f t="shared" si="2"/>
        <v>0</v>
      </c>
      <c r="AN19" s="47">
        <f t="shared" si="2"/>
        <v>0</v>
      </c>
      <c r="AO19" s="47">
        <f t="shared" si="2"/>
        <v>0</v>
      </c>
    </row>
    <row r="20" spans="1:41" ht="16.5" customHeight="1" x14ac:dyDescent="0.25">
      <c r="A20" s="39">
        <f>YearToDate!A23</f>
        <v>20</v>
      </c>
      <c r="B20" s="40">
        <f>VLOOKUP(A20,YearToDate!$A$9:$B$34,2,0)</f>
        <v>0</v>
      </c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47">
        <f t="shared" si="2"/>
        <v>0</v>
      </c>
      <c r="AI20" s="47">
        <f t="shared" si="2"/>
        <v>0</v>
      </c>
      <c r="AJ20" s="47">
        <f t="shared" si="2"/>
        <v>0</v>
      </c>
      <c r="AK20" s="47">
        <f t="shared" si="2"/>
        <v>0</v>
      </c>
      <c r="AL20" s="47">
        <f t="shared" si="2"/>
        <v>0</v>
      </c>
      <c r="AM20" s="47">
        <f t="shared" si="2"/>
        <v>0</v>
      </c>
      <c r="AN20" s="47">
        <f t="shared" si="2"/>
        <v>0</v>
      </c>
      <c r="AO20" s="47">
        <f t="shared" si="2"/>
        <v>0</v>
      </c>
    </row>
    <row r="21" spans="1:41" ht="16.5" customHeight="1" x14ac:dyDescent="0.25">
      <c r="A21" s="39">
        <f>YearToDate!A24</f>
        <v>21</v>
      </c>
      <c r="B21" s="40">
        <f>VLOOKUP(A21,YearToDate!$A$9:$B$34,2,0)</f>
        <v>0</v>
      </c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47">
        <f t="shared" si="2"/>
        <v>0</v>
      </c>
      <c r="AI21" s="47">
        <f t="shared" si="2"/>
        <v>0</v>
      </c>
      <c r="AJ21" s="47">
        <f t="shared" si="2"/>
        <v>0</v>
      </c>
      <c r="AK21" s="47">
        <f t="shared" si="2"/>
        <v>0</v>
      </c>
      <c r="AL21" s="47">
        <f t="shared" si="2"/>
        <v>0</v>
      </c>
      <c r="AM21" s="47">
        <f t="shared" si="2"/>
        <v>0</v>
      </c>
      <c r="AN21" s="47">
        <f t="shared" si="2"/>
        <v>0</v>
      </c>
      <c r="AO21" s="47">
        <f t="shared" si="2"/>
        <v>0</v>
      </c>
    </row>
    <row r="22" spans="1:41" ht="16.5" customHeight="1" x14ac:dyDescent="0.25">
      <c r="A22" s="39">
        <f>YearToDate!A25</f>
        <v>22</v>
      </c>
      <c r="B22" s="40">
        <f>VLOOKUP(A22,YearToDate!$A$9:$B$34,2,0)</f>
        <v>0</v>
      </c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47">
        <f t="shared" si="2"/>
        <v>0</v>
      </c>
      <c r="AI22" s="47">
        <f t="shared" si="2"/>
        <v>0</v>
      </c>
      <c r="AJ22" s="47">
        <f t="shared" si="2"/>
        <v>0</v>
      </c>
      <c r="AK22" s="47">
        <f t="shared" si="2"/>
        <v>0</v>
      </c>
      <c r="AL22" s="47">
        <f t="shared" si="2"/>
        <v>0</v>
      </c>
      <c r="AM22" s="47">
        <f t="shared" si="2"/>
        <v>0</v>
      </c>
      <c r="AN22" s="47">
        <f t="shared" si="2"/>
        <v>0</v>
      </c>
      <c r="AO22" s="47">
        <f t="shared" si="2"/>
        <v>0</v>
      </c>
    </row>
    <row r="23" spans="1:41" ht="16.5" customHeight="1" x14ac:dyDescent="0.25">
      <c r="A23" s="39">
        <f>YearToDate!A26</f>
        <v>23</v>
      </c>
      <c r="B23" s="40">
        <f>VLOOKUP(A23,YearToDate!$A$9:$B$34,2,0)</f>
        <v>0</v>
      </c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47">
        <f t="shared" si="2"/>
        <v>0</v>
      </c>
      <c r="AI23" s="47">
        <f t="shared" si="2"/>
        <v>0</v>
      </c>
      <c r="AJ23" s="47">
        <f t="shared" si="2"/>
        <v>0</v>
      </c>
      <c r="AK23" s="47">
        <f t="shared" si="2"/>
        <v>0</v>
      </c>
      <c r="AL23" s="47">
        <f t="shared" si="2"/>
        <v>0</v>
      </c>
      <c r="AM23" s="47">
        <f t="shared" si="2"/>
        <v>0</v>
      </c>
      <c r="AN23" s="47">
        <f t="shared" si="2"/>
        <v>0</v>
      </c>
      <c r="AO23" s="47">
        <f t="shared" si="2"/>
        <v>0</v>
      </c>
    </row>
    <row r="24" spans="1:41" ht="16.5" customHeight="1" x14ac:dyDescent="0.25">
      <c r="A24" s="39">
        <f>YearToDate!A27</f>
        <v>24</v>
      </c>
      <c r="B24" s="40">
        <f>VLOOKUP(A24,YearToDate!$A$9:$B$34,2,0)</f>
        <v>0</v>
      </c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47">
        <f t="shared" si="2"/>
        <v>0</v>
      </c>
      <c r="AI24" s="47">
        <f t="shared" si="2"/>
        <v>0</v>
      </c>
      <c r="AJ24" s="47">
        <f t="shared" si="2"/>
        <v>0</v>
      </c>
      <c r="AK24" s="47">
        <f t="shared" si="2"/>
        <v>0</v>
      </c>
      <c r="AL24" s="47">
        <f t="shared" si="2"/>
        <v>0</v>
      </c>
      <c r="AM24" s="47">
        <f t="shared" si="2"/>
        <v>0</v>
      </c>
      <c r="AN24" s="47">
        <f t="shared" si="2"/>
        <v>0</v>
      </c>
      <c r="AO24" s="47">
        <f t="shared" si="2"/>
        <v>0</v>
      </c>
    </row>
    <row r="25" spans="1:41" ht="16.5" customHeight="1" x14ac:dyDescent="0.25">
      <c r="A25" s="39">
        <f>YearToDate!A28</f>
        <v>25</v>
      </c>
      <c r="B25" s="40">
        <f>VLOOKUP(A25,YearToDate!$A$9:$B$34,2,0)</f>
        <v>0</v>
      </c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47">
        <f t="shared" si="2"/>
        <v>0</v>
      </c>
      <c r="AI25" s="47">
        <f t="shared" si="2"/>
        <v>0</v>
      </c>
      <c r="AJ25" s="47">
        <f t="shared" si="2"/>
        <v>0</v>
      </c>
      <c r="AK25" s="47">
        <f t="shared" si="2"/>
        <v>0</v>
      </c>
      <c r="AL25" s="47">
        <f t="shared" si="2"/>
        <v>0</v>
      </c>
      <c r="AM25" s="47">
        <f t="shared" si="2"/>
        <v>0</v>
      </c>
      <c r="AN25" s="47">
        <f t="shared" si="2"/>
        <v>0</v>
      </c>
      <c r="AO25" s="47">
        <f t="shared" si="2"/>
        <v>0</v>
      </c>
    </row>
    <row r="26" spans="1:41" ht="16.5" customHeight="1" x14ac:dyDescent="0.25">
      <c r="A26" s="39">
        <f>YearToDate!A29</f>
        <v>26</v>
      </c>
      <c r="B26" s="40">
        <f>VLOOKUP(A26,YearToDate!$A$9:$B$34,2,0)</f>
        <v>0</v>
      </c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47">
        <f t="shared" si="2"/>
        <v>0</v>
      </c>
      <c r="AI26" s="47">
        <f t="shared" si="2"/>
        <v>0</v>
      </c>
      <c r="AJ26" s="47">
        <f t="shared" si="2"/>
        <v>0</v>
      </c>
      <c r="AK26" s="47">
        <f t="shared" si="2"/>
        <v>0</v>
      </c>
      <c r="AL26" s="47">
        <f t="shared" si="2"/>
        <v>0</v>
      </c>
      <c r="AM26" s="47">
        <f t="shared" si="2"/>
        <v>0</v>
      </c>
      <c r="AN26" s="47">
        <f t="shared" si="2"/>
        <v>0</v>
      </c>
      <c r="AO26" s="47">
        <f t="shared" si="2"/>
        <v>0</v>
      </c>
    </row>
    <row r="27" spans="1:41" ht="16.5" customHeight="1" x14ac:dyDescent="0.25">
      <c r="A27" s="39">
        <f>YearToDate!A30</f>
        <v>27</v>
      </c>
      <c r="B27" s="40">
        <f>VLOOKUP(A27,YearToDate!$A$9:$B$34,2,0)</f>
        <v>0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47">
        <f t="shared" si="2"/>
        <v>0</v>
      </c>
      <c r="AI27" s="47">
        <f t="shared" si="2"/>
        <v>0</v>
      </c>
      <c r="AJ27" s="47">
        <f t="shared" si="2"/>
        <v>0</v>
      </c>
      <c r="AK27" s="47">
        <f t="shared" si="2"/>
        <v>0</v>
      </c>
      <c r="AL27" s="47">
        <f t="shared" si="2"/>
        <v>0</v>
      </c>
      <c r="AM27" s="47">
        <f t="shared" si="2"/>
        <v>0</v>
      </c>
      <c r="AN27" s="47">
        <f t="shared" si="2"/>
        <v>0</v>
      </c>
      <c r="AO27" s="47">
        <f t="shared" si="2"/>
        <v>0</v>
      </c>
    </row>
    <row r="28" spans="1:41" ht="16.5" customHeight="1" x14ac:dyDescent="0.25">
      <c r="A28" s="39">
        <f>YearToDate!A31</f>
        <v>28</v>
      </c>
      <c r="B28" s="40">
        <f>VLOOKUP(A28,YearToDate!$A$9:$B$34,2,0)</f>
        <v>0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47">
        <f t="shared" si="2"/>
        <v>0</v>
      </c>
      <c r="AI28" s="47">
        <f t="shared" si="2"/>
        <v>0</v>
      </c>
      <c r="AJ28" s="47">
        <f t="shared" si="2"/>
        <v>0</v>
      </c>
      <c r="AK28" s="47">
        <f t="shared" si="2"/>
        <v>0</v>
      </c>
      <c r="AL28" s="47">
        <f t="shared" si="2"/>
        <v>0</v>
      </c>
      <c r="AM28" s="47">
        <f t="shared" si="2"/>
        <v>0</v>
      </c>
      <c r="AN28" s="47">
        <f t="shared" si="2"/>
        <v>0</v>
      </c>
      <c r="AO28" s="47">
        <f t="shared" si="2"/>
        <v>0</v>
      </c>
    </row>
    <row r="29" spans="1:41" ht="16.5" customHeight="1" x14ac:dyDescent="0.25">
      <c r="A29" s="39">
        <f>YearToDate!A32</f>
        <v>29</v>
      </c>
      <c r="B29" s="40">
        <f>VLOOKUP(A29,YearToDate!$A$9:$B$34,2,0)</f>
        <v>0</v>
      </c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47">
        <f t="shared" si="2"/>
        <v>0</v>
      </c>
      <c r="AI29" s="47">
        <f t="shared" si="2"/>
        <v>0</v>
      </c>
      <c r="AJ29" s="47">
        <f t="shared" si="2"/>
        <v>0</v>
      </c>
      <c r="AK29" s="47">
        <f t="shared" si="2"/>
        <v>0</v>
      </c>
      <c r="AL29" s="47">
        <f t="shared" si="2"/>
        <v>0</v>
      </c>
      <c r="AM29" s="47">
        <f t="shared" si="2"/>
        <v>0</v>
      </c>
      <c r="AN29" s="47">
        <f t="shared" si="2"/>
        <v>0</v>
      </c>
      <c r="AO29" s="47">
        <f t="shared" si="2"/>
        <v>0</v>
      </c>
    </row>
    <row r="30" spans="1:41" s="28" customFormat="1" ht="16.5" customHeight="1" x14ac:dyDescent="0.25">
      <c r="A30" s="32"/>
      <c r="B30" s="33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48"/>
      <c r="AI30" s="48"/>
      <c r="AJ30" s="48"/>
      <c r="AK30" s="48"/>
      <c r="AL30" s="48"/>
      <c r="AM30" s="48"/>
      <c r="AN30" s="48"/>
      <c r="AO30" s="48"/>
    </row>
    <row r="31" spans="1:41" ht="16.5" customHeight="1" x14ac:dyDescent="0.25">
      <c r="A31" s="29" t="str">
        <f>HYPERLINK("https://www.vertex42.com/templates/employee-leave-tracker.html","https://www.vertex42.com/templates/employee-leave-tracker.html")</f>
        <v>https://www.vertex42.com/templates/employee-leave-tracker.html</v>
      </c>
      <c r="B31" s="35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AG31" s="37" t="s">
        <v>40</v>
      </c>
      <c r="AH31" s="49">
        <f>SUM(AH7:AH30)</f>
        <v>0</v>
      </c>
      <c r="AI31" s="49">
        <f>SUM(AI7:AI30)</f>
        <v>0</v>
      </c>
      <c r="AJ31" s="49">
        <f>SUM(AJ7:AJ30)</f>
        <v>0</v>
      </c>
      <c r="AK31" s="49">
        <f>SUM(AK7:AK30)</f>
        <v>0</v>
      </c>
      <c r="AL31" s="49">
        <f>SUM(AL7:AL30)</f>
        <v>0</v>
      </c>
      <c r="AM31" s="49">
        <f t="shared" ref="AM31:AN31" si="3">SUM(AM7:AM30)</f>
        <v>0</v>
      </c>
      <c r="AN31" s="49">
        <f t="shared" si="3"/>
        <v>0</v>
      </c>
      <c r="AO31" s="49">
        <f>SUM(AO7:AO30)</f>
        <v>0</v>
      </c>
    </row>
    <row r="32" spans="1:41" x14ac:dyDescent="0.25">
      <c r="A32" s="73"/>
      <c r="B32" s="73"/>
    </row>
  </sheetData>
  <mergeCells count="3">
    <mergeCell ref="A32:B32"/>
    <mergeCell ref="C4:AG4"/>
    <mergeCell ref="AH4:AO4"/>
  </mergeCells>
  <conditionalFormatting sqref="C6:AG6">
    <cfRule type="expression" dxfId="43" priority="2" stopIfTrue="1">
      <formula>OR(WEEKDAY(C$6,1)=1,WEEKDAY(C$6,1)=7)</formula>
    </cfRule>
    <cfRule type="cellIs" dxfId="42" priority="3" stopIfTrue="1" operator="equal">
      <formula>""</formula>
    </cfRule>
  </conditionalFormatting>
  <conditionalFormatting sqref="C7:AG29">
    <cfRule type="expression" dxfId="41" priority="4" stopIfTrue="1">
      <formula>OR(WEEKDAY(C$6)=1,WEEKDAY(C$6)=7)</formula>
    </cfRule>
    <cfRule type="expression" dxfId="40" priority="5" stopIfTrue="1">
      <formula>C$6=""</formula>
    </cfRule>
  </conditionalFormatting>
  <dataValidations count="1">
    <dataValidation type="list" allowBlank="1" sqref="C7:AG29">
      <formula1>$AH$6:$AO$6</formula1>
    </dataValidation>
  </dataValidations>
  <printOptions horizontalCentered="1"/>
  <pageMargins left="0.25" right="0.25" top="0.25" bottom="0.25" header="0.5" footer="0.5"/>
  <pageSetup scale="9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O32"/>
  <sheetViews>
    <sheetView showGridLines="0" topLeftCell="A9" zoomScale="90" zoomScaleNormal="90" workbookViewId="0">
      <selection activeCell="G13" sqref="G13:J14"/>
    </sheetView>
  </sheetViews>
  <sheetFormatPr defaultColWidth="9.1796875" defaultRowHeight="12.5" x14ac:dyDescent="0.25"/>
  <cols>
    <col min="1" max="1" width="5.453125" style="18" customWidth="1"/>
    <col min="2" max="2" width="29.1796875" style="18" customWidth="1"/>
    <col min="3" max="33" width="3.26953125" style="18" customWidth="1"/>
    <col min="34" max="41" width="4.26953125" style="18" customWidth="1"/>
    <col min="42" max="16384" width="9.1796875" style="18"/>
  </cols>
  <sheetData>
    <row r="1" spans="1:41" ht="26.25" customHeight="1" x14ac:dyDescent="0.25">
      <c r="A1" s="17" t="str">
        <f>"June "&amp;YearToDate!$B$3</f>
        <v>June 2024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26" t="s">
        <v>0</v>
      </c>
    </row>
    <row r="2" spans="1:41" x14ac:dyDescent="0.25">
      <c r="AO2" s="27" t="s">
        <v>39</v>
      </c>
    </row>
    <row r="4" spans="1:41" ht="22" customHeight="1" x14ac:dyDescent="0.25">
      <c r="A4" s="60" t="s">
        <v>6</v>
      </c>
      <c r="B4" s="61"/>
      <c r="C4" s="74" t="str">
        <f>YearToDate!$A$5</f>
        <v>A = Annual,  S = Sick, M = Maternity, CM = Compationate, T = Terminal leave, ST = Study, E = Examination, CA = Casual</v>
      </c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1" t="s">
        <v>36</v>
      </c>
      <c r="AI4" s="71"/>
      <c r="AJ4" s="71"/>
      <c r="AK4" s="71"/>
      <c r="AL4" s="71"/>
      <c r="AM4" s="71"/>
      <c r="AN4" s="71"/>
      <c r="AO4" s="71"/>
    </row>
    <row r="5" spans="1:41" ht="16.5" customHeight="1" x14ac:dyDescent="0.25">
      <c r="A5" s="58"/>
      <c r="B5" s="59"/>
      <c r="C5" s="30" t="str">
        <f>IF(C6="","",INDEX({"Su";"M";"Tu";"W";"Th";"F";"Sa"},WEEKDAY(C6,1)))</f>
        <v>Sa</v>
      </c>
      <c r="D5" s="30" t="str">
        <f>IF(D6="","",INDEX({"Su";"M";"Tu";"W";"Th";"F";"Sa"},WEEKDAY(D6,1)))</f>
        <v>Su</v>
      </c>
      <c r="E5" s="30" t="str">
        <f>IF(E6="","",INDEX({"Su";"M";"Tu";"W";"Th";"F";"Sa"},WEEKDAY(E6,1)))</f>
        <v>M</v>
      </c>
      <c r="F5" s="30" t="str">
        <f>IF(F6="","",INDEX({"Su";"M";"Tu";"W";"Th";"F";"Sa"},WEEKDAY(F6,1)))</f>
        <v>Tu</v>
      </c>
      <c r="G5" s="30" t="str">
        <f>IF(G6="","",INDEX({"Su";"M";"Tu";"W";"Th";"F";"Sa"},WEEKDAY(G6,1)))</f>
        <v>W</v>
      </c>
      <c r="H5" s="30" t="str">
        <f>IF(H6="","",INDEX({"Su";"M";"Tu";"W";"Th";"F";"Sa"},WEEKDAY(H6,1)))</f>
        <v>Th</v>
      </c>
      <c r="I5" s="30" t="str">
        <f>IF(I6="","",INDEX({"Su";"M";"Tu";"W";"Th";"F";"Sa"},WEEKDAY(I6,1)))</f>
        <v>F</v>
      </c>
      <c r="J5" s="30" t="str">
        <f>IF(J6="","",INDEX({"Su";"M";"Tu";"W";"Th";"F";"Sa"},WEEKDAY(J6,1)))</f>
        <v>Sa</v>
      </c>
      <c r="K5" s="30" t="str">
        <f>IF(K6="","",INDEX({"Su";"M";"Tu";"W";"Th";"F";"Sa"},WEEKDAY(K6,1)))</f>
        <v>Su</v>
      </c>
      <c r="L5" s="30" t="str">
        <f>IF(L6="","",INDEX({"Su";"M";"Tu";"W";"Th";"F";"Sa"},WEEKDAY(L6,1)))</f>
        <v>M</v>
      </c>
      <c r="M5" s="30" t="str">
        <f>IF(M6="","",INDEX({"Su";"M";"Tu";"W";"Th";"F";"Sa"},WEEKDAY(M6,1)))</f>
        <v>Tu</v>
      </c>
      <c r="N5" s="30" t="str">
        <f>IF(N6="","",INDEX({"Su";"M";"Tu";"W";"Th";"F";"Sa"},WEEKDAY(N6,1)))</f>
        <v>W</v>
      </c>
      <c r="O5" s="30" t="str">
        <f>IF(O6="","",INDEX({"Su";"M";"Tu";"W";"Th";"F";"Sa"},WEEKDAY(O6,1)))</f>
        <v>Th</v>
      </c>
      <c r="P5" s="30" t="str">
        <f>IF(P6="","",INDEX({"Su";"M";"Tu";"W";"Th";"F";"Sa"},WEEKDAY(P6,1)))</f>
        <v>F</v>
      </c>
      <c r="Q5" s="30" t="str">
        <f>IF(Q6="","",INDEX({"Su";"M";"Tu";"W";"Th";"F";"Sa"},WEEKDAY(Q6,1)))</f>
        <v>Sa</v>
      </c>
      <c r="R5" s="30" t="str">
        <f>IF(R6="","",INDEX({"Su";"M";"Tu";"W";"Th";"F";"Sa"},WEEKDAY(R6,1)))</f>
        <v>Su</v>
      </c>
      <c r="S5" s="30" t="str">
        <f>IF(S6="","",INDEX({"Su";"M";"Tu";"W";"Th";"F";"Sa"},WEEKDAY(S6,1)))</f>
        <v>M</v>
      </c>
      <c r="T5" s="30" t="str">
        <f>IF(T6="","",INDEX({"Su";"M";"Tu";"W";"Th";"F";"Sa"},WEEKDAY(T6,1)))</f>
        <v>Tu</v>
      </c>
      <c r="U5" s="30" t="str">
        <f>IF(U6="","",INDEX({"Su";"M";"Tu";"W";"Th";"F";"Sa"},WEEKDAY(U6,1)))</f>
        <v>W</v>
      </c>
      <c r="V5" s="30" t="str">
        <f>IF(V6="","",INDEX({"Su";"M";"Tu";"W";"Th";"F";"Sa"},WEEKDAY(V6,1)))</f>
        <v>Th</v>
      </c>
      <c r="W5" s="30" t="str">
        <f>IF(W6="","",INDEX({"Su";"M";"Tu";"W";"Th";"F";"Sa"},WEEKDAY(W6,1)))</f>
        <v>F</v>
      </c>
      <c r="X5" s="30" t="str">
        <f>IF(X6="","",INDEX({"Su";"M";"Tu";"W";"Th";"F";"Sa"},WEEKDAY(X6,1)))</f>
        <v>Sa</v>
      </c>
      <c r="Y5" s="30" t="str">
        <f>IF(Y6="","",INDEX({"Su";"M";"Tu";"W";"Th";"F";"Sa"},WEEKDAY(Y6,1)))</f>
        <v>Su</v>
      </c>
      <c r="Z5" s="30" t="str">
        <f>IF(Z6="","",INDEX({"Su";"M";"Tu";"W";"Th";"F";"Sa"},WEEKDAY(Z6,1)))</f>
        <v>M</v>
      </c>
      <c r="AA5" s="30" t="str">
        <f>IF(AA6="","",INDEX({"Su";"M";"Tu";"W";"Th";"F";"Sa"},WEEKDAY(AA6,1)))</f>
        <v>Tu</v>
      </c>
      <c r="AB5" s="30" t="str">
        <f>IF(AB6="","",INDEX({"Su";"M";"Tu";"W";"Th";"F";"Sa"},WEEKDAY(AB6,1)))</f>
        <v>W</v>
      </c>
      <c r="AC5" s="30" t="str">
        <f>IF(AC6="","",INDEX({"Su";"M";"Tu";"W";"Th";"F";"Sa"},WEEKDAY(AC6,1)))</f>
        <v>Th</v>
      </c>
      <c r="AD5" s="30" t="str">
        <f>IF(AD6="","",INDEX({"Su";"M";"Tu";"W";"Th";"F";"Sa"},WEEKDAY(AD6,1)))</f>
        <v>F</v>
      </c>
      <c r="AE5" s="30" t="str">
        <f>IF(AE6="","",INDEX({"Su";"M";"Tu";"W";"Th";"F";"Sa"},WEEKDAY(AE6,1)))</f>
        <v>Sa</v>
      </c>
      <c r="AF5" s="30" t="str">
        <f>IF(AF6="","",INDEX({"Su";"M";"Tu";"W";"Th";"F";"Sa"},WEEKDAY(AF6,1)))</f>
        <v>Su</v>
      </c>
      <c r="AG5" s="30" t="str">
        <f>IF(AG6="","",INDEX({"Su";"M";"Tu";"W";"Th";"F";"Sa"},WEEKDAY(AG6,1)))</f>
        <v/>
      </c>
      <c r="AH5" s="62"/>
      <c r="AI5" s="62"/>
      <c r="AJ5" s="62"/>
      <c r="AK5" s="62"/>
      <c r="AL5" s="62"/>
      <c r="AM5" s="62"/>
      <c r="AN5" s="62"/>
      <c r="AO5" s="62"/>
    </row>
    <row r="6" spans="1:41" ht="16.5" customHeight="1" x14ac:dyDescent="0.25">
      <c r="A6" s="45" t="s">
        <v>8</v>
      </c>
      <c r="B6" s="38" t="s">
        <v>9</v>
      </c>
      <c r="C6" s="43">
        <f>DATE(YearToDate!$B$3,6,1)</f>
        <v>45444</v>
      </c>
      <c r="D6" s="43">
        <f>C6+1</f>
        <v>45445</v>
      </c>
      <c r="E6" s="43">
        <f t="shared" ref="E6:AD6" si="0">D6+1</f>
        <v>45446</v>
      </c>
      <c r="F6" s="43">
        <f t="shared" si="0"/>
        <v>45447</v>
      </c>
      <c r="G6" s="43">
        <f>F6+1</f>
        <v>45448</v>
      </c>
      <c r="H6" s="43">
        <f t="shared" si="0"/>
        <v>45449</v>
      </c>
      <c r="I6" s="43">
        <f t="shared" si="0"/>
        <v>45450</v>
      </c>
      <c r="J6" s="43">
        <f t="shared" si="0"/>
        <v>45451</v>
      </c>
      <c r="K6" s="43">
        <f t="shared" si="0"/>
        <v>45452</v>
      </c>
      <c r="L6" s="43">
        <f t="shared" si="0"/>
        <v>45453</v>
      </c>
      <c r="M6" s="43">
        <f t="shared" si="0"/>
        <v>45454</v>
      </c>
      <c r="N6" s="43">
        <f t="shared" si="0"/>
        <v>45455</v>
      </c>
      <c r="O6" s="43">
        <f t="shared" si="0"/>
        <v>45456</v>
      </c>
      <c r="P6" s="43">
        <f t="shared" si="0"/>
        <v>45457</v>
      </c>
      <c r="Q6" s="43">
        <f t="shared" si="0"/>
        <v>45458</v>
      </c>
      <c r="R6" s="43">
        <f t="shared" si="0"/>
        <v>45459</v>
      </c>
      <c r="S6" s="43">
        <f t="shared" si="0"/>
        <v>45460</v>
      </c>
      <c r="T6" s="43">
        <f t="shared" si="0"/>
        <v>45461</v>
      </c>
      <c r="U6" s="43">
        <f t="shared" si="0"/>
        <v>45462</v>
      </c>
      <c r="V6" s="43">
        <f t="shared" si="0"/>
        <v>45463</v>
      </c>
      <c r="W6" s="43">
        <f t="shared" si="0"/>
        <v>45464</v>
      </c>
      <c r="X6" s="43">
        <f t="shared" si="0"/>
        <v>45465</v>
      </c>
      <c r="Y6" s="43">
        <f t="shared" si="0"/>
        <v>45466</v>
      </c>
      <c r="Z6" s="43">
        <f t="shared" si="0"/>
        <v>45467</v>
      </c>
      <c r="AA6" s="43">
        <f t="shared" si="0"/>
        <v>45468</v>
      </c>
      <c r="AB6" s="43">
        <f t="shared" si="0"/>
        <v>45469</v>
      </c>
      <c r="AC6" s="43">
        <f t="shared" si="0"/>
        <v>45470</v>
      </c>
      <c r="AD6" s="43">
        <f t="shared" si="0"/>
        <v>45471</v>
      </c>
      <c r="AE6" s="43">
        <f>IF(MONTH($AD6+1)&gt;MONTH($C$6),"",$AD6+1)</f>
        <v>45472</v>
      </c>
      <c r="AF6" s="43">
        <f>IF(MONTH($AD6+2)&gt;MONTH($C$6),"",$AD6+2)</f>
        <v>45473</v>
      </c>
      <c r="AG6" s="43" t="str">
        <f>IF(MONTH($AD6+3)&gt;MONTH($C$6),"",$AD6+3)</f>
        <v/>
      </c>
      <c r="AH6" s="31" t="str">
        <f>YearToDate!C9</f>
        <v>A</v>
      </c>
      <c r="AI6" s="31" t="str">
        <f>YearToDate!E9</f>
        <v>S</v>
      </c>
      <c r="AJ6" s="31" t="str">
        <f>YearToDate!G9</f>
        <v>M</v>
      </c>
      <c r="AK6" s="31" t="str">
        <f>YearToDate!I9</f>
        <v>CM</v>
      </c>
      <c r="AL6" s="31" t="str">
        <f>YearToDate!K9</f>
        <v>T</v>
      </c>
      <c r="AM6" s="31" t="str">
        <f>YearToDate!M9</f>
        <v>ST</v>
      </c>
      <c r="AN6" s="31" t="str">
        <f>YearToDate!O9</f>
        <v>E</v>
      </c>
      <c r="AO6" s="31" t="str">
        <f>YearToDate!Q9</f>
        <v>CA</v>
      </c>
    </row>
    <row r="7" spans="1:41" ht="16.5" customHeight="1" x14ac:dyDescent="0.25">
      <c r="A7" s="39">
        <f>YearToDate!A10</f>
        <v>1</v>
      </c>
      <c r="B7" s="40" t="str">
        <f>VLOOKUP(A7,YearToDate!$A$9:$B$34,2,0)</f>
        <v>AHMAN ABDULJABBAR</v>
      </c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47">
        <f>COUNTIF($C7:$AG7,AH$6)+0.5*COUNTIF($C7:$AG7,AH$6&amp;"H")+0.5*COUNTIF($C7:$AG7,"H"&amp;AH$6)</f>
        <v>0</v>
      </c>
      <c r="AI7" s="47">
        <f t="shared" ref="AI7:AO16" si="1">COUNTIF($C7:$AG7,AI$6)+0.5*COUNTIF($C7:$AG7,AI$6&amp;"H")+0.5*COUNTIF($C7:$AG7,"H"&amp;AI$6)</f>
        <v>0</v>
      </c>
      <c r="AJ7" s="47">
        <f t="shared" si="1"/>
        <v>0</v>
      </c>
      <c r="AK7" s="47">
        <f t="shared" si="1"/>
        <v>0</v>
      </c>
      <c r="AL7" s="47">
        <f t="shared" si="1"/>
        <v>0</v>
      </c>
      <c r="AM7" s="47">
        <f t="shared" si="1"/>
        <v>0</v>
      </c>
      <c r="AN7" s="47">
        <f t="shared" si="1"/>
        <v>0</v>
      </c>
      <c r="AO7" s="47">
        <f t="shared" si="1"/>
        <v>0</v>
      </c>
    </row>
    <row r="8" spans="1:41" ht="16.5" customHeight="1" x14ac:dyDescent="0.25">
      <c r="A8" s="39">
        <f>YearToDate!A11</f>
        <v>2</v>
      </c>
      <c r="B8" s="40" t="str">
        <f>VLOOKUP(A8,YearToDate!$A$9:$B$34,2,0)</f>
        <v>ALIYU MUSA ABUBAKAR</v>
      </c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47">
        <f t="shared" ref="AH8:AO29" si="2">COUNTIF($C8:$AG8,AH$6)+0.5*COUNTIF($C8:$AG8,AH$6&amp;"H")+0.5*COUNTIF($C8:$AG8,"H"&amp;AH$6)</f>
        <v>0</v>
      </c>
      <c r="AI8" s="47">
        <f t="shared" si="1"/>
        <v>0</v>
      </c>
      <c r="AJ8" s="47">
        <f t="shared" si="1"/>
        <v>0</v>
      </c>
      <c r="AK8" s="47">
        <f t="shared" si="1"/>
        <v>0</v>
      </c>
      <c r="AL8" s="47">
        <f t="shared" si="1"/>
        <v>0</v>
      </c>
      <c r="AM8" s="47">
        <f t="shared" si="1"/>
        <v>0</v>
      </c>
      <c r="AN8" s="47">
        <f t="shared" si="1"/>
        <v>0</v>
      </c>
      <c r="AO8" s="47">
        <f t="shared" si="1"/>
        <v>0</v>
      </c>
    </row>
    <row r="9" spans="1:41" ht="16.5" customHeight="1" x14ac:dyDescent="0.25">
      <c r="A9" s="39">
        <f>YearToDate!A12</f>
        <v>3</v>
      </c>
      <c r="B9" s="40" t="str">
        <f>VLOOKUP(A9,YearToDate!$A$9:$B$34,2,0)</f>
        <v>GOSTA ALIYU</v>
      </c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47">
        <f t="shared" si="2"/>
        <v>0</v>
      </c>
      <c r="AI9" s="47">
        <f t="shared" si="1"/>
        <v>0</v>
      </c>
      <c r="AJ9" s="47">
        <f t="shared" si="1"/>
        <v>0</v>
      </c>
      <c r="AK9" s="47">
        <f t="shared" si="1"/>
        <v>0</v>
      </c>
      <c r="AL9" s="47">
        <f t="shared" si="1"/>
        <v>0</v>
      </c>
      <c r="AM9" s="47">
        <f t="shared" si="1"/>
        <v>0</v>
      </c>
      <c r="AN9" s="47">
        <f t="shared" si="1"/>
        <v>0</v>
      </c>
      <c r="AO9" s="47">
        <f t="shared" si="1"/>
        <v>0</v>
      </c>
    </row>
    <row r="10" spans="1:41" ht="16.5" customHeight="1" x14ac:dyDescent="0.25">
      <c r="A10" s="39">
        <f>YearToDate!A13</f>
        <v>4</v>
      </c>
      <c r="B10" s="40" t="str">
        <f>VLOOKUP(A10,YearToDate!$A$9:$B$34,2,0)</f>
        <v>IBRAHIM TUKURA RILWAN</v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47">
        <f t="shared" si="2"/>
        <v>0</v>
      </c>
      <c r="AI10" s="47">
        <f t="shared" si="1"/>
        <v>0</v>
      </c>
      <c r="AJ10" s="47">
        <f t="shared" si="1"/>
        <v>0</v>
      </c>
      <c r="AK10" s="47">
        <f t="shared" si="1"/>
        <v>0</v>
      </c>
      <c r="AL10" s="47">
        <f t="shared" si="1"/>
        <v>0</v>
      </c>
      <c r="AM10" s="47">
        <f t="shared" si="1"/>
        <v>0</v>
      </c>
      <c r="AN10" s="47">
        <f t="shared" si="1"/>
        <v>0</v>
      </c>
      <c r="AO10" s="47">
        <f t="shared" si="1"/>
        <v>0</v>
      </c>
    </row>
    <row r="11" spans="1:41" ht="16.5" customHeight="1" x14ac:dyDescent="0.25">
      <c r="A11" s="39">
        <f>YearToDate!A14</f>
        <v>5</v>
      </c>
      <c r="B11" s="40" t="str">
        <f>VLOOKUP(A11,YearToDate!$A$9:$B$34,2,0)</f>
        <v>HASSAN HABEEB</v>
      </c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47">
        <f t="shared" si="2"/>
        <v>0</v>
      </c>
      <c r="AI11" s="47">
        <f t="shared" si="1"/>
        <v>0</v>
      </c>
      <c r="AJ11" s="47">
        <f t="shared" si="1"/>
        <v>0</v>
      </c>
      <c r="AK11" s="47">
        <f t="shared" si="1"/>
        <v>0</v>
      </c>
      <c r="AL11" s="47">
        <f t="shared" si="1"/>
        <v>0</v>
      </c>
      <c r="AM11" s="47">
        <f t="shared" si="1"/>
        <v>0</v>
      </c>
      <c r="AN11" s="47">
        <f t="shared" si="1"/>
        <v>0</v>
      </c>
      <c r="AO11" s="47">
        <f t="shared" si="1"/>
        <v>0</v>
      </c>
    </row>
    <row r="12" spans="1:41" ht="16.5" customHeight="1" x14ac:dyDescent="0.25">
      <c r="A12" s="39">
        <f>YearToDate!A15</f>
        <v>6</v>
      </c>
      <c r="B12" s="40" t="str">
        <f>VLOOKUP(A12,YearToDate!$A$9:$B$34,2,0)</f>
        <v>SHEHU NABILA</v>
      </c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47">
        <f t="shared" si="2"/>
        <v>0</v>
      </c>
      <c r="AI12" s="47">
        <f t="shared" si="1"/>
        <v>0</v>
      </c>
      <c r="AJ12" s="47">
        <f t="shared" si="1"/>
        <v>0</v>
      </c>
      <c r="AK12" s="47">
        <f t="shared" si="1"/>
        <v>0</v>
      </c>
      <c r="AL12" s="47">
        <f t="shared" si="1"/>
        <v>0</v>
      </c>
      <c r="AM12" s="47">
        <f t="shared" si="1"/>
        <v>0</v>
      </c>
      <c r="AN12" s="47">
        <f t="shared" si="1"/>
        <v>0</v>
      </c>
      <c r="AO12" s="47">
        <f t="shared" si="1"/>
        <v>0</v>
      </c>
    </row>
    <row r="13" spans="1:41" ht="16.5" customHeight="1" x14ac:dyDescent="0.25">
      <c r="A13" s="39">
        <f>YearToDate!A16</f>
        <v>7</v>
      </c>
      <c r="B13" s="40" t="str">
        <f>VLOOKUP(A13,YearToDate!$A$9:$B$34,2,0)</f>
        <v>SULEMAN IBRAHIM</v>
      </c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47">
        <f t="shared" si="2"/>
        <v>0</v>
      </c>
      <c r="AI13" s="47">
        <f t="shared" si="1"/>
        <v>0</v>
      </c>
      <c r="AJ13" s="47">
        <f t="shared" si="1"/>
        <v>0</v>
      </c>
      <c r="AK13" s="47">
        <f t="shared" si="1"/>
        <v>0</v>
      </c>
      <c r="AL13" s="47">
        <f t="shared" si="1"/>
        <v>0</v>
      </c>
      <c r="AM13" s="47">
        <f t="shared" si="1"/>
        <v>0</v>
      </c>
      <c r="AN13" s="47">
        <f t="shared" si="1"/>
        <v>0</v>
      </c>
      <c r="AO13" s="47">
        <f t="shared" si="1"/>
        <v>0</v>
      </c>
    </row>
    <row r="14" spans="1:41" ht="16.5" customHeight="1" x14ac:dyDescent="0.25">
      <c r="A14" s="39">
        <f>YearToDate!A17</f>
        <v>8</v>
      </c>
      <c r="B14" s="40" t="str">
        <f>VLOOKUP(A14,YearToDate!$A$9:$B$34,2,0)</f>
        <v>EMMANUELA LONGJAP</v>
      </c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47">
        <f t="shared" si="2"/>
        <v>0</v>
      </c>
      <c r="AI14" s="47">
        <f t="shared" si="1"/>
        <v>0</v>
      </c>
      <c r="AJ14" s="47">
        <f t="shared" si="1"/>
        <v>0</v>
      </c>
      <c r="AK14" s="47">
        <f t="shared" si="1"/>
        <v>0</v>
      </c>
      <c r="AL14" s="47">
        <f t="shared" si="1"/>
        <v>0</v>
      </c>
      <c r="AM14" s="47">
        <f t="shared" si="1"/>
        <v>0</v>
      </c>
      <c r="AN14" s="47">
        <f t="shared" si="1"/>
        <v>0</v>
      </c>
      <c r="AO14" s="47">
        <f t="shared" si="1"/>
        <v>0</v>
      </c>
    </row>
    <row r="15" spans="1:41" ht="16.5" customHeight="1" x14ac:dyDescent="0.25">
      <c r="A15" s="39">
        <f>YearToDate!A18</f>
        <v>9</v>
      </c>
      <c r="B15" s="40" t="str">
        <f>VLOOKUP(A15,YearToDate!$A$9:$B$34,2,0)</f>
        <v xml:space="preserve">OLUCHI EZE 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47">
        <f t="shared" si="2"/>
        <v>0</v>
      </c>
      <c r="AI15" s="47">
        <f t="shared" si="1"/>
        <v>0</v>
      </c>
      <c r="AJ15" s="47">
        <f t="shared" si="1"/>
        <v>0</v>
      </c>
      <c r="AK15" s="47">
        <f t="shared" si="1"/>
        <v>0</v>
      </c>
      <c r="AL15" s="47">
        <f t="shared" si="1"/>
        <v>0</v>
      </c>
      <c r="AM15" s="47">
        <f t="shared" si="1"/>
        <v>0</v>
      </c>
      <c r="AN15" s="47">
        <f t="shared" si="1"/>
        <v>0</v>
      </c>
      <c r="AO15" s="47">
        <f t="shared" si="1"/>
        <v>0</v>
      </c>
    </row>
    <row r="16" spans="1:41" ht="16.5" customHeight="1" x14ac:dyDescent="0.25">
      <c r="A16" s="39">
        <f>YearToDate!A19</f>
        <v>10</v>
      </c>
      <c r="B16" s="40" t="str">
        <f>VLOOKUP(A16,YearToDate!$A$9:$B$34,2,0)</f>
        <v>NURA ABDULLAHI</v>
      </c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47">
        <f t="shared" si="2"/>
        <v>0</v>
      </c>
      <c r="AI16" s="47">
        <f t="shared" si="1"/>
        <v>0</v>
      </c>
      <c r="AJ16" s="47">
        <f t="shared" si="1"/>
        <v>0</v>
      </c>
      <c r="AK16" s="47">
        <f t="shared" si="1"/>
        <v>0</v>
      </c>
      <c r="AL16" s="47">
        <f t="shared" si="1"/>
        <v>0</v>
      </c>
      <c r="AM16" s="47">
        <f t="shared" si="1"/>
        <v>0</v>
      </c>
      <c r="AN16" s="47">
        <f t="shared" si="1"/>
        <v>0</v>
      </c>
      <c r="AO16" s="47">
        <f t="shared" si="1"/>
        <v>0</v>
      </c>
    </row>
    <row r="17" spans="1:41" ht="16.5" customHeight="1" x14ac:dyDescent="0.25">
      <c r="A17" s="39">
        <f>YearToDate!A20</f>
        <v>11</v>
      </c>
      <c r="B17" s="40" t="str">
        <f>VLOOKUP(A17,YearToDate!$A$9:$B$34,2,0)</f>
        <v>VERA EGELAMBA EZINNE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47">
        <f t="shared" si="2"/>
        <v>0</v>
      </c>
      <c r="AI17" s="47">
        <f t="shared" si="2"/>
        <v>0</v>
      </c>
      <c r="AJ17" s="47">
        <f t="shared" si="2"/>
        <v>0</v>
      </c>
      <c r="AK17" s="47">
        <f t="shared" si="2"/>
        <v>0</v>
      </c>
      <c r="AL17" s="47">
        <f t="shared" si="2"/>
        <v>0</v>
      </c>
      <c r="AM17" s="47">
        <f t="shared" si="2"/>
        <v>0</v>
      </c>
      <c r="AN17" s="47">
        <f t="shared" si="2"/>
        <v>0</v>
      </c>
      <c r="AO17" s="47">
        <f t="shared" si="2"/>
        <v>0</v>
      </c>
    </row>
    <row r="18" spans="1:41" ht="16.5" customHeight="1" x14ac:dyDescent="0.25">
      <c r="A18" s="39">
        <f>YearToDate!A21</f>
        <v>18</v>
      </c>
      <c r="B18" s="40" t="str">
        <f>VLOOKUP(A18,YearToDate!$A$9:$B$34,2,0)</f>
        <v>NAIMA LABARAN DABO</v>
      </c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47">
        <f t="shared" si="2"/>
        <v>0</v>
      </c>
      <c r="AI18" s="47">
        <f t="shared" si="2"/>
        <v>0</v>
      </c>
      <c r="AJ18" s="47">
        <f t="shared" si="2"/>
        <v>0</v>
      </c>
      <c r="AK18" s="47">
        <f t="shared" si="2"/>
        <v>0</v>
      </c>
      <c r="AL18" s="47">
        <f t="shared" si="2"/>
        <v>0</v>
      </c>
      <c r="AM18" s="47">
        <f t="shared" si="2"/>
        <v>0</v>
      </c>
      <c r="AN18" s="47">
        <f t="shared" si="2"/>
        <v>0</v>
      </c>
      <c r="AO18" s="47">
        <f t="shared" si="2"/>
        <v>0</v>
      </c>
    </row>
    <row r="19" spans="1:41" ht="16.5" customHeight="1" x14ac:dyDescent="0.25">
      <c r="A19" s="39">
        <f>YearToDate!A22</f>
        <v>19</v>
      </c>
      <c r="B19" s="40">
        <f>VLOOKUP(A19,YearToDate!$A$9:$B$34,2,0)</f>
        <v>0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47">
        <f t="shared" si="2"/>
        <v>0</v>
      </c>
      <c r="AI19" s="47">
        <f t="shared" si="2"/>
        <v>0</v>
      </c>
      <c r="AJ19" s="47">
        <f t="shared" si="2"/>
        <v>0</v>
      </c>
      <c r="AK19" s="47">
        <f t="shared" si="2"/>
        <v>0</v>
      </c>
      <c r="AL19" s="47">
        <f t="shared" si="2"/>
        <v>0</v>
      </c>
      <c r="AM19" s="47">
        <f t="shared" si="2"/>
        <v>0</v>
      </c>
      <c r="AN19" s="47">
        <f t="shared" si="2"/>
        <v>0</v>
      </c>
      <c r="AO19" s="47">
        <f t="shared" si="2"/>
        <v>0</v>
      </c>
    </row>
    <row r="20" spans="1:41" ht="16.5" customHeight="1" x14ac:dyDescent="0.25">
      <c r="A20" s="39">
        <f>YearToDate!A23</f>
        <v>20</v>
      </c>
      <c r="B20" s="40">
        <f>VLOOKUP(A20,YearToDate!$A$9:$B$34,2,0)</f>
        <v>0</v>
      </c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47">
        <f t="shared" si="2"/>
        <v>0</v>
      </c>
      <c r="AI20" s="47">
        <f t="shared" si="2"/>
        <v>0</v>
      </c>
      <c r="AJ20" s="47">
        <f t="shared" si="2"/>
        <v>0</v>
      </c>
      <c r="AK20" s="47">
        <f t="shared" si="2"/>
        <v>0</v>
      </c>
      <c r="AL20" s="47">
        <f t="shared" si="2"/>
        <v>0</v>
      </c>
      <c r="AM20" s="47">
        <f t="shared" si="2"/>
        <v>0</v>
      </c>
      <c r="AN20" s="47">
        <f t="shared" si="2"/>
        <v>0</v>
      </c>
      <c r="AO20" s="47">
        <f t="shared" si="2"/>
        <v>0</v>
      </c>
    </row>
    <row r="21" spans="1:41" ht="16.5" customHeight="1" x14ac:dyDescent="0.25">
      <c r="A21" s="39">
        <f>YearToDate!A24</f>
        <v>21</v>
      </c>
      <c r="B21" s="40">
        <f>VLOOKUP(A21,YearToDate!$A$9:$B$34,2,0)</f>
        <v>0</v>
      </c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47">
        <f t="shared" si="2"/>
        <v>0</v>
      </c>
      <c r="AI21" s="47">
        <f t="shared" si="2"/>
        <v>0</v>
      </c>
      <c r="AJ21" s="47">
        <f t="shared" si="2"/>
        <v>0</v>
      </c>
      <c r="AK21" s="47">
        <f t="shared" si="2"/>
        <v>0</v>
      </c>
      <c r="AL21" s="47">
        <f t="shared" si="2"/>
        <v>0</v>
      </c>
      <c r="AM21" s="47">
        <f t="shared" si="2"/>
        <v>0</v>
      </c>
      <c r="AN21" s="47">
        <f t="shared" si="2"/>
        <v>0</v>
      </c>
      <c r="AO21" s="47">
        <f t="shared" si="2"/>
        <v>0</v>
      </c>
    </row>
    <row r="22" spans="1:41" ht="16.5" customHeight="1" x14ac:dyDescent="0.25">
      <c r="A22" s="39">
        <f>YearToDate!A25</f>
        <v>22</v>
      </c>
      <c r="B22" s="40">
        <f>VLOOKUP(A22,YearToDate!$A$9:$B$34,2,0)</f>
        <v>0</v>
      </c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47">
        <f t="shared" si="2"/>
        <v>0</v>
      </c>
      <c r="AI22" s="47">
        <f t="shared" si="2"/>
        <v>0</v>
      </c>
      <c r="AJ22" s="47">
        <f t="shared" si="2"/>
        <v>0</v>
      </c>
      <c r="AK22" s="47">
        <f t="shared" si="2"/>
        <v>0</v>
      </c>
      <c r="AL22" s="47">
        <f t="shared" si="2"/>
        <v>0</v>
      </c>
      <c r="AM22" s="47">
        <f t="shared" si="2"/>
        <v>0</v>
      </c>
      <c r="AN22" s="47">
        <f t="shared" si="2"/>
        <v>0</v>
      </c>
      <c r="AO22" s="47">
        <f t="shared" si="2"/>
        <v>0</v>
      </c>
    </row>
    <row r="23" spans="1:41" ht="16.5" customHeight="1" x14ac:dyDescent="0.25">
      <c r="A23" s="39">
        <f>YearToDate!A26</f>
        <v>23</v>
      </c>
      <c r="B23" s="40">
        <f>VLOOKUP(A23,YearToDate!$A$9:$B$34,2,0)</f>
        <v>0</v>
      </c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47">
        <f t="shared" si="2"/>
        <v>0</v>
      </c>
      <c r="AI23" s="47">
        <f t="shared" si="2"/>
        <v>0</v>
      </c>
      <c r="AJ23" s="47">
        <f t="shared" si="2"/>
        <v>0</v>
      </c>
      <c r="AK23" s="47">
        <f t="shared" si="2"/>
        <v>0</v>
      </c>
      <c r="AL23" s="47">
        <f t="shared" si="2"/>
        <v>0</v>
      </c>
      <c r="AM23" s="47">
        <f t="shared" si="2"/>
        <v>0</v>
      </c>
      <c r="AN23" s="47">
        <f t="shared" si="2"/>
        <v>0</v>
      </c>
      <c r="AO23" s="47">
        <f t="shared" si="2"/>
        <v>0</v>
      </c>
    </row>
    <row r="24" spans="1:41" ht="16.5" customHeight="1" x14ac:dyDescent="0.25">
      <c r="A24" s="39">
        <f>YearToDate!A27</f>
        <v>24</v>
      </c>
      <c r="B24" s="40">
        <f>VLOOKUP(A24,YearToDate!$A$9:$B$34,2,0)</f>
        <v>0</v>
      </c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47">
        <f t="shared" si="2"/>
        <v>0</v>
      </c>
      <c r="AI24" s="47">
        <f t="shared" si="2"/>
        <v>0</v>
      </c>
      <c r="AJ24" s="47">
        <f t="shared" si="2"/>
        <v>0</v>
      </c>
      <c r="AK24" s="47">
        <f t="shared" si="2"/>
        <v>0</v>
      </c>
      <c r="AL24" s="47">
        <f t="shared" si="2"/>
        <v>0</v>
      </c>
      <c r="AM24" s="47">
        <f t="shared" si="2"/>
        <v>0</v>
      </c>
      <c r="AN24" s="47">
        <f t="shared" si="2"/>
        <v>0</v>
      </c>
      <c r="AO24" s="47">
        <f t="shared" si="2"/>
        <v>0</v>
      </c>
    </row>
    <row r="25" spans="1:41" ht="16.5" customHeight="1" x14ac:dyDescent="0.25">
      <c r="A25" s="39">
        <f>YearToDate!A28</f>
        <v>25</v>
      </c>
      <c r="B25" s="40">
        <f>VLOOKUP(A25,YearToDate!$A$9:$B$34,2,0)</f>
        <v>0</v>
      </c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47">
        <f t="shared" si="2"/>
        <v>0</v>
      </c>
      <c r="AI25" s="47">
        <f t="shared" si="2"/>
        <v>0</v>
      </c>
      <c r="AJ25" s="47">
        <f t="shared" si="2"/>
        <v>0</v>
      </c>
      <c r="AK25" s="47">
        <f t="shared" si="2"/>
        <v>0</v>
      </c>
      <c r="AL25" s="47">
        <f t="shared" si="2"/>
        <v>0</v>
      </c>
      <c r="AM25" s="47">
        <f t="shared" si="2"/>
        <v>0</v>
      </c>
      <c r="AN25" s="47">
        <f t="shared" si="2"/>
        <v>0</v>
      </c>
      <c r="AO25" s="47">
        <f t="shared" si="2"/>
        <v>0</v>
      </c>
    </row>
    <row r="26" spans="1:41" ht="16.5" customHeight="1" x14ac:dyDescent="0.25">
      <c r="A26" s="39">
        <f>YearToDate!A29</f>
        <v>26</v>
      </c>
      <c r="B26" s="40">
        <f>VLOOKUP(A26,YearToDate!$A$9:$B$34,2,0)</f>
        <v>0</v>
      </c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47">
        <f t="shared" si="2"/>
        <v>0</v>
      </c>
      <c r="AI26" s="47">
        <f t="shared" si="2"/>
        <v>0</v>
      </c>
      <c r="AJ26" s="47">
        <f t="shared" si="2"/>
        <v>0</v>
      </c>
      <c r="AK26" s="47">
        <f t="shared" si="2"/>
        <v>0</v>
      </c>
      <c r="AL26" s="47">
        <f t="shared" si="2"/>
        <v>0</v>
      </c>
      <c r="AM26" s="47">
        <f t="shared" si="2"/>
        <v>0</v>
      </c>
      <c r="AN26" s="47">
        <f t="shared" si="2"/>
        <v>0</v>
      </c>
      <c r="AO26" s="47">
        <f t="shared" si="2"/>
        <v>0</v>
      </c>
    </row>
    <row r="27" spans="1:41" ht="16.5" customHeight="1" x14ac:dyDescent="0.25">
      <c r="A27" s="39">
        <f>YearToDate!A30</f>
        <v>27</v>
      </c>
      <c r="B27" s="40">
        <f>VLOOKUP(A27,YearToDate!$A$9:$B$34,2,0)</f>
        <v>0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47">
        <f t="shared" si="2"/>
        <v>0</v>
      </c>
      <c r="AI27" s="47">
        <f t="shared" si="2"/>
        <v>0</v>
      </c>
      <c r="AJ27" s="47">
        <f t="shared" si="2"/>
        <v>0</v>
      </c>
      <c r="AK27" s="47">
        <f t="shared" si="2"/>
        <v>0</v>
      </c>
      <c r="AL27" s="47">
        <f t="shared" si="2"/>
        <v>0</v>
      </c>
      <c r="AM27" s="47">
        <f t="shared" si="2"/>
        <v>0</v>
      </c>
      <c r="AN27" s="47">
        <f t="shared" si="2"/>
        <v>0</v>
      </c>
      <c r="AO27" s="47">
        <f t="shared" si="2"/>
        <v>0</v>
      </c>
    </row>
    <row r="28" spans="1:41" ht="16.5" customHeight="1" x14ac:dyDescent="0.25">
      <c r="A28" s="39">
        <f>YearToDate!A31</f>
        <v>28</v>
      </c>
      <c r="B28" s="40">
        <f>VLOOKUP(A28,YearToDate!$A$9:$B$34,2,0)</f>
        <v>0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47">
        <f t="shared" si="2"/>
        <v>0</v>
      </c>
      <c r="AI28" s="47">
        <f t="shared" si="2"/>
        <v>0</v>
      </c>
      <c r="AJ28" s="47">
        <f t="shared" si="2"/>
        <v>0</v>
      </c>
      <c r="AK28" s="47">
        <f t="shared" si="2"/>
        <v>0</v>
      </c>
      <c r="AL28" s="47">
        <f t="shared" si="2"/>
        <v>0</v>
      </c>
      <c r="AM28" s="47">
        <f t="shared" si="2"/>
        <v>0</v>
      </c>
      <c r="AN28" s="47">
        <f t="shared" si="2"/>
        <v>0</v>
      </c>
      <c r="AO28" s="47">
        <f t="shared" si="2"/>
        <v>0</v>
      </c>
    </row>
    <row r="29" spans="1:41" ht="16.5" customHeight="1" x14ac:dyDescent="0.25">
      <c r="A29" s="39">
        <f>YearToDate!A32</f>
        <v>29</v>
      </c>
      <c r="B29" s="40">
        <f>VLOOKUP(A29,YearToDate!$A$9:$B$34,2,0)</f>
        <v>0</v>
      </c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47">
        <f t="shared" si="2"/>
        <v>0</v>
      </c>
      <c r="AI29" s="47">
        <f t="shared" si="2"/>
        <v>0</v>
      </c>
      <c r="AJ29" s="47">
        <f t="shared" si="2"/>
        <v>0</v>
      </c>
      <c r="AK29" s="47">
        <f t="shared" si="2"/>
        <v>0</v>
      </c>
      <c r="AL29" s="47">
        <f t="shared" si="2"/>
        <v>0</v>
      </c>
      <c r="AM29" s="47">
        <f t="shared" si="2"/>
        <v>0</v>
      </c>
      <c r="AN29" s="47">
        <f t="shared" si="2"/>
        <v>0</v>
      </c>
      <c r="AO29" s="47">
        <f t="shared" si="2"/>
        <v>0</v>
      </c>
    </row>
    <row r="30" spans="1:41" s="28" customFormat="1" ht="16.5" customHeight="1" x14ac:dyDescent="0.25">
      <c r="A30" s="32"/>
      <c r="B30" s="33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48"/>
      <c r="AI30" s="48"/>
      <c r="AJ30" s="48"/>
      <c r="AK30" s="48"/>
      <c r="AL30" s="48"/>
      <c r="AM30" s="48"/>
      <c r="AN30" s="48"/>
      <c r="AO30" s="48"/>
    </row>
    <row r="31" spans="1:41" ht="16.5" customHeight="1" x14ac:dyDescent="0.25">
      <c r="A31" s="29" t="str">
        <f>HYPERLINK("https://www.vertex42.com/templates/employee-leave-tracker.html","https://www.vertex42.com/templates/employee-leave-tracker.html")</f>
        <v>https://www.vertex42.com/templates/employee-leave-tracker.html</v>
      </c>
      <c r="B31" s="35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AG31" s="37" t="s">
        <v>40</v>
      </c>
      <c r="AH31" s="49">
        <f>SUM(AH7:AH30)</f>
        <v>0</v>
      </c>
      <c r="AI31" s="49">
        <f>SUM(AI7:AI30)</f>
        <v>0</v>
      </c>
      <c r="AJ31" s="49">
        <f>SUM(AJ7:AJ30)</f>
        <v>0</v>
      </c>
      <c r="AK31" s="49">
        <f>SUM(AK7:AK30)</f>
        <v>0</v>
      </c>
      <c r="AL31" s="49">
        <f>SUM(AL7:AL30)</f>
        <v>0</v>
      </c>
      <c r="AM31" s="49">
        <f t="shared" ref="AM31:AN31" si="3">SUM(AM7:AM30)</f>
        <v>0</v>
      </c>
      <c r="AN31" s="49">
        <f t="shared" si="3"/>
        <v>0</v>
      </c>
      <c r="AO31" s="49">
        <f>SUM(AO7:AO30)</f>
        <v>0</v>
      </c>
    </row>
    <row r="32" spans="1:41" x14ac:dyDescent="0.25">
      <c r="A32" s="73"/>
      <c r="B32" s="73"/>
    </row>
  </sheetData>
  <mergeCells count="3">
    <mergeCell ref="A32:B32"/>
    <mergeCell ref="C4:AG4"/>
    <mergeCell ref="AH4:AO4"/>
  </mergeCells>
  <conditionalFormatting sqref="C6:AG6">
    <cfRule type="expression" dxfId="39" priority="2" stopIfTrue="1">
      <formula>OR(WEEKDAY(C$6,1)=1,WEEKDAY(C$6,1)=7)</formula>
    </cfRule>
    <cfRule type="cellIs" dxfId="38" priority="3" stopIfTrue="1" operator="equal">
      <formula>""</formula>
    </cfRule>
  </conditionalFormatting>
  <conditionalFormatting sqref="C7:AG29">
    <cfRule type="expression" dxfId="37" priority="4" stopIfTrue="1">
      <formula>OR(WEEKDAY(C$6)=1,WEEKDAY(C$6)=7)</formula>
    </cfRule>
    <cfRule type="expression" dxfId="36" priority="5" stopIfTrue="1">
      <formula>C$6=""</formula>
    </cfRule>
  </conditionalFormatting>
  <dataValidations count="1">
    <dataValidation type="list" allowBlank="1" sqref="C7:AG29">
      <formula1>$AH$6:$AO$6</formula1>
    </dataValidation>
  </dataValidations>
  <printOptions horizontalCentered="1"/>
  <pageMargins left="0.25" right="0.25" top="0.25" bottom="0.25" header="0.5" footer="0.5"/>
  <pageSetup scale="9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O32"/>
  <sheetViews>
    <sheetView showGridLines="0" zoomScale="90" zoomScaleNormal="90" workbookViewId="0">
      <selection activeCell="AQ18" sqref="AQ18"/>
    </sheetView>
  </sheetViews>
  <sheetFormatPr defaultColWidth="9.1796875" defaultRowHeight="12.5" x14ac:dyDescent="0.25"/>
  <cols>
    <col min="1" max="1" width="5.453125" style="18" customWidth="1"/>
    <col min="2" max="2" width="25.26953125" style="18" customWidth="1"/>
    <col min="3" max="33" width="3.26953125" style="18" customWidth="1"/>
    <col min="34" max="41" width="4.26953125" style="18" customWidth="1"/>
    <col min="42" max="16384" width="9.1796875" style="18"/>
  </cols>
  <sheetData>
    <row r="1" spans="1:41" ht="26.25" customHeight="1" x14ac:dyDescent="0.25">
      <c r="A1" s="17" t="str">
        <f>"July "&amp;YearToDate!$B$3</f>
        <v>July 2024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26" t="s">
        <v>0</v>
      </c>
    </row>
    <row r="2" spans="1:41" x14ac:dyDescent="0.25">
      <c r="AO2" s="27" t="s">
        <v>39</v>
      </c>
    </row>
    <row r="4" spans="1:41" ht="22" customHeight="1" x14ac:dyDescent="0.25">
      <c r="A4" s="60" t="s">
        <v>6</v>
      </c>
      <c r="B4" s="61"/>
      <c r="C4" s="74" t="str">
        <f>YearToDate!$A$5</f>
        <v>A = Annual,  S = Sick, M = Maternity, CM = Compationate, T = Terminal leave, ST = Study, E = Examination, CA = Casual</v>
      </c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1" t="s">
        <v>36</v>
      </c>
      <c r="AI4" s="71"/>
      <c r="AJ4" s="71"/>
      <c r="AK4" s="71"/>
      <c r="AL4" s="71"/>
      <c r="AM4" s="71"/>
      <c r="AN4" s="71"/>
      <c r="AO4" s="71"/>
    </row>
    <row r="5" spans="1:41" ht="16.5" customHeight="1" x14ac:dyDescent="0.25">
      <c r="A5" s="58"/>
      <c r="B5" s="59"/>
      <c r="C5" s="30" t="str">
        <f>IF(C6="","",INDEX({"Su";"M";"Tu";"W";"Th";"F";"Sa"},WEEKDAY(C6,1)))</f>
        <v>M</v>
      </c>
      <c r="D5" s="30" t="str">
        <f>IF(D6="","",INDEX({"Su";"M";"Tu";"W";"Th";"F";"Sa"},WEEKDAY(D6,1)))</f>
        <v>Tu</v>
      </c>
      <c r="E5" s="30" t="str">
        <f>IF(E6="","",INDEX({"Su";"M";"Tu";"W";"Th";"F";"Sa"},WEEKDAY(E6,1)))</f>
        <v>W</v>
      </c>
      <c r="F5" s="30" t="str">
        <f>IF(F6="","",INDEX({"Su";"M";"Tu";"W";"Th";"F";"Sa"},WEEKDAY(F6,1)))</f>
        <v>Th</v>
      </c>
      <c r="G5" s="30" t="str">
        <f>IF(G6="","",INDEX({"Su";"M";"Tu";"W";"Th";"F";"Sa"},WEEKDAY(G6,1)))</f>
        <v>F</v>
      </c>
      <c r="H5" s="30" t="str">
        <f>IF(H6="","",INDEX({"Su";"M";"Tu";"W";"Th";"F";"Sa"},WEEKDAY(H6,1)))</f>
        <v>Sa</v>
      </c>
      <c r="I5" s="30" t="str">
        <f>IF(I6="","",INDEX({"Su";"M";"Tu";"W";"Th";"F";"Sa"},WEEKDAY(I6,1)))</f>
        <v>Su</v>
      </c>
      <c r="J5" s="30" t="str">
        <f>IF(J6="","",INDEX({"Su";"M";"Tu";"W";"Th";"F";"Sa"},WEEKDAY(J6,1)))</f>
        <v>M</v>
      </c>
      <c r="K5" s="30" t="str">
        <f>IF(K6="","",INDEX({"Su";"M";"Tu";"W";"Th";"F";"Sa"},WEEKDAY(K6,1)))</f>
        <v>Tu</v>
      </c>
      <c r="L5" s="30" t="str">
        <f>IF(L6="","",INDEX({"Su";"M";"Tu";"W";"Th";"F";"Sa"},WEEKDAY(L6,1)))</f>
        <v>W</v>
      </c>
      <c r="M5" s="30" t="str">
        <f>IF(M6="","",INDEX({"Su";"M";"Tu";"W";"Th";"F";"Sa"},WEEKDAY(M6,1)))</f>
        <v>Th</v>
      </c>
      <c r="N5" s="30" t="str">
        <f>IF(N6="","",INDEX({"Su";"M";"Tu";"W";"Th";"F";"Sa"},WEEKDAY(N6,1)))</f>
        <v>F</v>
      </c>
      <c r="O5" s="30" t="str">
        <f>IF(O6="","",INDEX({"Su";"M";"Tu";"W";"Th";"F";"Sa"},WEEKDAY(O6,1)))</f>
        <v>Sa</v>
      </c>
      <c r="P5" s="30" t="str">
        <f>IF(P6="","",INDEX({"Su";"M";"Tu";"W";"Th";"F";"Sa"},WEEKDAY(P6,1)))</f>
        <v>Su</v>
      </c>
      <c r="Q5" s="30" t="str">
        <f>IF(Q6="","",INDEX({"Su";"M";"Tu";"W";"Th";"F";"Sa"},WEEKDAY(Q6,1)))</f>
        <v>M</v>
      </c>
      <c r="R5" s="30" t="str">
        <f>IF(R6="","",INDEX({"Su";"M";"Tu";"W";"Th";"F";"Sa"},WEEKDAY(R6,1)))</f>
        <v>Tu</v>
      </c>
      <c r="S5" s="30" t="str">
        <f>IF(S6="","",INDEX({"Su";"M";"Tu";"W";"Th";"F";"Sa"},WEEKDAY(S6,1)))</f>
        <v>W</v>
      </c>
      <c r="T5" s="30" t="str">
        <f>IF(T6="","",INDEX({"Su";"M";"Tu";"W";"Th";"F";"Sa"},WEEKDAY(T6,1)))</f>
        <v>Th</v>
      </c>
      <c r="U5" s="30" t="str">
        <f>IF(U6="","",INDEX({"Su";"M";"Tu";"W";"Th";"F";"Sa"},WEEKDAY(U6,1)))</f>
        <v>F</v>
      </c>
      <c r="V5" s="30" t="str">
        <f>IF(V6="","",INDEX({"Su";"M";"Tu";"W";"Th";"F";"Sa"},WEEKDAY(V6,1)))</f>
        <v>Sa</v>
      </c>
      <c r="W5" s="30" t="str">
        <f>IF(W6="","",INDEX({"Su";"M";"Tu";"W";"Th";"F";"Sa"},WEEKDAY(W6,1)))</f>
        <v>Su</v>
      </c>
      <c r="X5" s="30" t="str">
        <f>IF(X6="","",INDEX({"Su";"M";"Tu";"W";"Th";"F";"Sa"},WEEKDAY(X6,1)))</f>
        <v>M</v>
      </c>
      <c r="Y5" s="30" t="str">
        <f>IF(Y6="","",INDEX({"Su";"M";"Tu";"W";"Th";"F";"Sa"},WEEKDAY(Y6,1)))</f>
        <v>Tu</v>
      </c>
      <c r="Z5" s="30" t="str">
        <f>IF(Z6="","",INDEX({"Su";"M";"Tu";"W";"Th";"F";"Sa"},WEEKDAY(Z6,1)))</f>
        <v>W</v>
      </c>
      <c r="AA5" s="30" t="str">
        <f>IF(AA6="","",INDEX({"Su";"M";"Tu";"W";"Th";"F";"Sa"},WEEKDAY(AA6,1)))</f>
        <v>Th</v>
      </c>
      <c r="AB5" s="30" t="str">
        <f>IF(AB6="","",INDEX({"Su";"M";"Tu";"W";"Th";"F";"Sa"},WEEKDAY(AB6,1)))</f>
        <v>F</v>
      </c>
      <c r="AC5" s="30" t="str">
        <f>IF(AC6="","",INDEX({"Su";"M";"Tu";"W";"Th";"F";"Sa"},WEEKDAY(AC6,1)))</f>
        <v>Sa</v>
      </c>
      <c r="AD5" s="30" t="str">
        <f>IF(AD6="","",INDEX({"Su";"M";"Tu";"W";"Th";"F";"Sa"},WEEKDAY(AD6,1)))</f>
        <v>Su</v>
      </c>
      <c r="AE5" s="30" t="str">
        <f>IF(AE6="","",INDEX({"Su";"M";"Tu";"W";"Th";"F";"Sa"},WEEKDAY(AE6,1)))</f>
        <v>M</v>
      </c>
      <c r="AF5" s="30" t="str">
        <f>IF(AF6="","",INDEX({"Su";"M";"Tu";"W";"Th";"F";"Sa"},WEEKDAY(AF6,1)))</f>
        <v>Tu</v>
      </c>
      <c r="AG5" s="30" t="str">
        <f>IF(AG6="","",INDEX({"Su";"M";"Tu";"W";"Th";"F";"Sa"},WEEKDAY(AG6,1)))</f>
        <v>W</v>
      </c>
      <c r="AH5" s="62"/>
      <c r="AI5" s="62"/>
      <c r="AJ5" s="62"/>
      <c r="AK5" s="62"/>
      <c r="AL5" s="62"/>
      <c r="AM5" s="62"/>
      <c r="AN5" s="62"/>
      <c r="AO5" s="62"/>
    </row>
    <row r="6" spans="1:41" ht="16.5" customHeight="1" x14ac:dyDescent="0.25">
      <c r="A6" s="45" t="s">
        <v>8</v>
      </c>
      <c r="B6" s="38" t="s">
        <v>9</v>
      </c>
      <c r="C6" s="43">
        <f>DATE(YearToDate!$B$3,7,1)</f>
        <v>45474</v>
      </c>
      <c r="D6" s="43">
        <f>C6+1</f>
        <v>45475</v>
      </c>
      <c r="E6" s="43">
        <f t="shared" ref="E6:AD6" si="0">D6+1</f>
        <v>45476</v>
      </c>
      <c r="F6" s="43">
        <f t="shared" si="0"/>
        <v>45477</v>
      </c>
      <c r="G6" s="43">
        <f>F6+1</f>
        <v>45478</v>
      </c>
      <c r="H6" s="43">
        <f t="shared" si="0"/>
        <v>45479</v>
      </c>
      <c r="I6" s="43">
        <f t="shared" si="0"/>
        <v>45480</v>
      </c>
      <c r="J6" s="43">
        <f t="shared" si="0"/>
        <v>45481</v>
      </c>
      <c r="K6" s="43">
        <f t="shared" si="0"/>
        <v>45482</v>
      </c>
      <c r="L6" s="43">
        <f t="shared" si="0"/>
        <v>45483</v>
      </c>
      <c r="M6" s="43">
        <f t="shared" si="0"/>
        <v>45484</v>
      </c>
      <c r="N6" s="43">
        <f t="shared" si="0"/>
        <v>45485</v>
      </c>
      <c r="O6" s="43">
        <f t="shared" si="0"/>
        <v>45486</v>
      </c>
      <c r="P6" s="43">
        <f t="shared" si="0"/>
        <v>45487</v>
      </c>
      <c r="Q6" s="43">
        <f t="shared" si="0"/>
        <v>45488</v>
      </c>
      <c r="R6" s="43">
        <f t="shared" si="0"/>
        <v>45489</v>
      </c>
      <c r="S6" s="43">
        <f t="shared" si="0"/>
        <v>45490</v>
      </c>
      <c r="T6" s="43">
        <f t="shared" si="0"/>
        <v>45491</v>
      </c>
      <c r="U6" s="43">
        <f t="shared" si="0"/>
        <v>45492</v>
      </c>
      <c r="V6" s="43">
        <f t="shared" si="0"/>
        <v>45493</v>
      </c>
      <c r="W6" s="43">
        <f t="shared" si="0"/>
        <v>45494</v>
      </c>
      <c r="X6" s="43">
        <f t="shared" si="0"/>
        <v>45495</v>
      </c>
      <c r="Y6" s="43">
        <f t="shared" si="0"/>
        <v>45496</v>
      </c>
      <c r="Z6" s="43">
        <f t="shared" si="0"/>
        <v>45497</v>
      </c>
      <c r="AA6" s="43">
        <f t="shared" si="0"/>
        <v>45498</v>
      </c>
      <c r="AB6" s="43">
        <f t="shared" si="0"/>
        <v>45499</v>
      </c>
      <c r="AC6" s="43">
        <f t="shared" si="0"/>
        <v>45500</v>
      </c>
      <c r="AD6" s="43">
        <f t="shared" si="0"/>
        <v>45501</v>
      </c>
      <c r="AE6" s="43">
        <f>IF(MONTH($AD6+1)&gt;MONTH($C$6),"",$AD6+1)</f>
        <v>45502</v>
      </c>
      <c r="AF6" s="43">
        <f>IF(MONTH($AD6+2)&gt;MONTH($C$6),"",$AD6+2)</f>
        <v>45503</v>
      </c>
      <c r="AG6" s="43">
        <f>IF(MONTH($AD6+3)&gt;MONTH($C$6),"",$AD6+3)</f>
        <v>45504</v>
      </c>
      <c r="AH6" s="31" t="str">
        <f>YearToDate!C9</f>
        <v>A</v>
      </c>
      <c r="AI6" s="31" t="str">
        <f>YearToDate!E9</f>
        <v>S</v>
      </c>
      <c r="AJ6" s="31" t="str">
        <f>YearToDate!G9</f>
        <v>M</v>
      </c>
      <c r="AK6" s="31" t="str">
        <f>YearToDate!I9</f>
        <v>CM</v>
      </c>
      <c r="AL6" s="31" t="str">
        <f>YearToDate!K9</f>
        <v>T</v>
      </c>
      <c r="AM6" s="31" t="str">
        <f>YearToDate!M9</f>
        <v>ST</v>
      </c>
      <c r="AN6" s="31" t="str">
        <f>YearToDate!O9</f>
        <v>E</v>
      </c>
      <c r="AO6" s="31" t="str">
        <f>YearToDate!Q9</f>
        <v>CA</v>
      </c>
    </row>
    <row r="7" spans="1:41" ht="16.5" customHeight="1" x14ac:dyDescent="0.25">
      <c r="A7" s="39">
        <f>YearToDate!A10</f>
        <v>1</v>
      </c>
      <c r="B7" s="40" t="str">
        <f>VLOOKUP(A7,YearToDate!$A$9:$B$34,2,0)</f>
        <v>AHMAN ABDULJABBAR</v>
      </c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47">
        <f>COUNTIF($C7:$AG7,AH$6)+0.5*COUNTIF($C7:$AG7,AH$6&amp;"H")+0.5*COUNTIF($C7:$AG7,"H"&amp;AH$6)</f>
        <v>0</v>
      </c>
      <c r="AI7" s="47">
        <f t="shared" ref="AI7:AO16" si="1">COUNTIF($C7:$AG7,AI$6)+0.5*COUNTIF($C7:$AG7,AI$6&amp;"H")+0.5*COUNTIF($C7:$AG7,"H"&amp;AI$6)</f>
        <v>0</v>
      </c>
      <c r="AJ7" s="47">
        <f t="shared" si="1"/>
        <v>0</v>
      </c>
      <c r="AK7" s="47">
        <f t="shared" si="1"/>
        <v>0</v>
      </c>
      <c r="AL7" s="47">
        <f t="shared" si="1"/>
        <v>0</v>
      </c>
      <c r="AM7" s="47">
        <f t="shared" si="1"/>
        <v>0</v>
      </c>
      <c r="AN7" s="47">
        <f t="shared" si="1"/>
        <v>0</v>
      </c>
      <c r="AO7" s="47">
        <f t="shared" si="1"/>
        <v>0</v>
      </c>
    </row>
    <row r="8" spans="1:41" ht="16.5" customHeight="1" x14ac:dyDescent="0.25">
      <c r="A8" s="39">
        <f>YearToDate!A11</f>
        <v>2</v>
      </c>
      <c r="B8" s="40" t="str">
        <f>VLOOKUP(A8,YearToDate!$A$9:$B$34,2,0)</f>
        <v>ALIYU MUSA ABUBAKAR</v>
      </c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47">
        <f t="shared" ref="AH8:AO29" si="2">COUNTIF($C8:$AG8,AH$6)+0.5*COUNTIF($C8:$AG8,AH$6&amp;"H")+0.5*COUNTIF($C8:$AG8,"H"&amp;AH$6)</f>
        <v>0</v>
      </c>
      <c r="AI8" s="47">
        <f t="shared" si="1"/>
        <v>0</v>
      </c>
      <c r="AJ8" s="47">
        <f t="shared" si="1"/>
        <v>0</v>
      </c>
      <c r="AK8" s="47">
        <f t="shared" si="1"/>
        <v>0</v>
      </c>
      <c r="AL8" s="47">
        <f t="shared" si="1"/>
        <v>0</v>
      </c>
      <c r="AM8" s="47">
        <f t="shared" si="1"/>
        <v>0</v>
      </c>
      <c r="AN8" s="47">
        <f t="shared" si="1"/>
        <v>0</v>
      </c>
      <c r="AO8" s="47">
        <f t="shared" si="1"/>
        <v>0</v>
      </c>
    </row>
    <row r="9" spans="1:41" ht="16.5" customHeight="1" x14ac:dyDescent="0.25">
      <c r="A9" s="39">
        <f>YearToDate!A12</f>
        <v>3</v>
      </c>
      <c r="B9" s="40" t="str">
        <f>VLOOKUP(A9,YearToDate!$A$9:$B$34,2,0)</f>
        <v>GOSTA ALIYU</v>
      </c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47">
        <f t="shared" si="2"/>
        <v>0</v>
      </c>
      <c r="AI9" s="47">
        <f t="shared" si="1"/>
        <v>0</v>
      </c>
      <c r="AJ9" s="47">
        <f t="shared" si="1"/>
        <v>0</v>
      </c>
      <c r="AK9" s="47">
        <f t="shared" si="1"/>
        <v>0</v>
      </c>
      <c r="AL9" s="47">
        <f t="shared" si="1"/>
        <v>0</v>
      </c>
      <c r="AM9" s="47">
        <f t="shared" si="1"/>
        <v>0</v>
      </c>
      <c r="AN9" s="47">
        <f t="shared" si="1"/>
        <v>0</v>
      </c>
      <c r="AO9" s="47">
        <f t="shared" si="1"/>
        <v>0</v>
      </c>
    </row>
    <row r="10" spans="1:41" ht="16.5" customHeight="1" x14ac:dyDescent="0.25">
      <c r="A10" s="39">
        <f>YearToDate!A13</f>
        <v>4</v>
      </c>
      <c r="B10" s="40" t="str">
        <f>VLOOKUP(A10,YearToDate!$A$9:$B$34,2,0)</f>
        <v>IBRAHIM TUKURA RILWAN</v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47">
        <f t="shared" si="2"/>
        <v>0</v>
      </c>
      <c r="AI10" s="47">
        <f t="shared" si="1"/>
        <v>0</v>
      </c>
      <c r="AJ10" s="47">
        <f t="shared" si="1"/>
        <v>0</v>
      </c>
      <c r="AK10" s="47">
        <f t="shared" si="1"/>
        <v>0</v>
      </c>
      <c r="AL10" s="47">
        <f t="shared" si="1"/>
        <v>0</v>
      </c>
      <c r="AM10" s="47">
        <f t="shared" si="1"/>
        <v>0</v>
      </c>
      <c r="AN10" s="47">
        <f t="shared" si="1"/>
        <v>0</v>
      </c>
      <c r="AO10" s="47">
        <f t="shared" si="1"/>
        <v>0</v>
      </c>
    </row>
    <row r="11" spans="1:41" ht="16.5" customHeight="1" x14ac:dyDescent="0.25">
      <c r="A11" s="39">
        <f>YearToDate!A14</f>
        <v>5</v>
      </c>
      <c r="B11" s="40" t="str">
        <f>VLOOKUP(A11,YearToDate!$A$9:$B$34,2,0)</f>
        <v>HASSAN HABEEB</v>
      </c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47">
        <f t="shared" si="2"/>
        <v>0</v>
      </c>
      <c r="AI11" s="47">
        <f t="shared" si="1"/>
        <v>0</v>
      </c>
      <c r="AJ11" s="47">
        <f t="shared" si="1"/>
        <v>0</v>
      </c>
      <c r="AK11" s="47">
        <f t="shared" si="1"/>
        <v>0</v>
      </c>
      <c r="AL11" s="47">
        <f t="shared" si="1"/>
        <v>0</v>
      </c>
      <c r="AM11" s="47">
        <f t="shared" si="1"/>
        <v>0</v>
      </c>
      <c r="AN11" s="47">
        <f t="shared" si="1"/>
        <v>0</v>
      </c>
      <c r="AO11" s="47">
        <f t="shared" si="1"/>
        <v>0</v>
      </c>
    </row>
    <row r="12" spans="1:41" ht="16.5" customHeight="1" x14ac:dyDescent="0.25">
      <c r="A12" s="39">
        <f>YearToDate!A15</f>
        <v>6</v>
      </c>
      <c r="B12" s="40" t="str">
        <f>VLOOKUP(A12,YearToDate!$A$9:$B$34,2,0)</f>
        <v>SHEHU NABILA</v>
      </c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47">
        <f t="shared" si="2"/>
        <v>0</v>
      </c>
      <c r="AI12" s="47">
        <f t="shared" si="1"/>
        <v>0</v>
      </c>
      <c r="AJ12" s="47">
        <f t="shared" si="1"/>
        <v>0</v>
      </c>
      <c r="AK12" s="47">
        <f t="shared" si="1"/>
        <v>0</v>
      </c>
      <c r="AL12" s="47">
        <f t="shared" si="1"/>
        <v>0</v>
      </c>
      <c r="AM12" s="47">
        <f t="shared" si="1"/>
        <v>0</v>
      </c>
      <c r="AN12" s="47">
        <f t="shared" si="1"/>
        <v>0</v>
      </c>
      <c r="AO12" s="47">
        <f t="shared" si="1"/>
        <v>0</v>
      </c>
    </row>
    <row r="13" spans="1:41" ht="16.5" customHeight="1" x14ac:dyDescent="0.25">
      <c r="A13" s="39">
        <f>YearToDate!A16</f>
        <v>7</v>
      </c>
      <c r="B13" s="40" t="str">
        <f>VLOOKUP(A13,YearToDate!$A$9:$B$34,2,0)</f>
        <v>SULEMAN IBRAHIM</v>
      </c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47">
        <f t="shared" si="2"/>
        <v>0</v>
      </c>
      <c r="AI13" s="47">
        <f t="shared" si="1"/>
        <v>0</v>
      </c>
      <c r="AJ13" s="47">
        <f t="shared" si="1"/>
        <v>0</v>
      </c>
      <c r="AK13" s="47">
        <f t="shared" si="1"/>
        <v>0</v>
      </c>
      <c r="AL13" s="47">
        <f t="shared" si="1"/>
        <v>0</v>
      </c>
      <c r="AM13" s="47">
        <f t="shared" si="1"/>
        <v>0</v>
      </c>
      <c r="AN13" s="47">
        <f t="shared" si="1"/>
        <v>0</v>
      </c>
      <c r="AO13" s="47">
        <f t="shared" si="1"/>
        <v>0</v>
      </c>
    </row>
    <row r="14" spans="1:41" ht="16.5" customHeight="1" x14ac:dyDescent="0.25">
      <c r="A14" s="39">
        <f>YearToDate!A17</f>
        <v>8</v>
      </c>
      <c r="B14" s="40" t="str">
        <f>VLOOKUP(A14,YearToDate!$A$9:$B$34,2,0)</f>
        <v>EMMANUELA LONGJAP</v>
      </c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47">
        <f t="shared" si="2"/>
        <v>0</v>
      </c>
      <c r="AI14" s="47">
        <f t="shared" si="1"/>
        <v>0</v>
      </c>
      <c r="AJ14" s="47">
        <f t="shared" si="1"/>
        <v>0</v>
      </c>
      <c r="AK14" s="47">
        <f t="shared" si="1"/>
        <v>0</v>
      </c>
      <c r="AL14" s="47">
        <f t="shared" si="1"/>
        <v>0</v>
      </c>
      <c r="AM14" s="47">
        <f t="shared" si="1"/>
        <v>0</v>
      </c>
      <c r="AN14" s="47">
        <f t="shared" si="1"/>
        <v>0</v>
      </c>
      <c r="AO14" s="47">
        <f t="shared" si="1"/>
        <v>0</v>
      </c>
    </row>
    <row r="15" spans="1:41" ht="16.5" customHeight="1" x14ac:dyDescent="0.25">
      <c r="A15" s="39">
        <f>YearToDate!A18</f>
        <v>9</v>
      </c>
      <c r="B15" s="40" t="str">
        <f>VLOOKUP(A15,YearToDate!$A$9:$B$34,2,0)</f>
        <v xml:space="preserve">OLUCHI EZE 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47">
        <f t="shared" si="2"/>
        <v>0</v>
      </c>
      <c r="AI15" s="47">
        <f t="shared" si="1"/>
        <v>0</v>
      </c>
      <c r="AJ15" s="47">
        <f t="shared" si="1"/>
        <v>0</v>
      </c>
      <c r="AK15" s="47">
        <f t="shared" si="1"/>
        <v>0</v>
      </c>
      <c r="AL15" s="47">
        <f t="shared" si="1"/>
        <v>0</v>
      </c>
      <c r="AM15" s="47">
        <f t="shared" si="1"/>
        <v>0</v>
      </c>
      <c r="AN15" s="47">
        <f t="shared" si="1"/>
        <v>0</v>
      </c>
      <c r="AO15" s="47">
        <f t="shared" si="1"/>
        <v>0</v>
      </c>
    </row>
    <row r="16" spans="1:41" ht="16.5" customHeight="1" x14ac:dyDescent="0.25">
      <c r="A16" s="39">
        <f>YearToDate!A19</f>
        <v>10</v>
      </c>
      <c r="B16" s="40" t="str">
        <f>VLOOKUP(A16,YearToDate!$A$9:$B$34,2,0)</f>
        <v>NURA ABDULLAHI</v>
      </c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47">
        <f t="shared" si="2"/>
        <v>0</v>
      </c>
      <c r="AI16" s="47">
        <f t="shared" si="1"/>
        <v>0</v>
      </c>
      <c r="AJ16" s="47">
        <f t="shared" si="1"/>
        <v>0</v>
      </c>
      <c r="AK16" s="47">
        <f t="shared" si="1"/>
        <v>0</v>
      </c>
      <c r="AL16" s="47">
        <f t="shared" si="1"/>
        <v>0</v>
      </c>
      <c r="AM16" s="47">
        <f t="shared" si="1"/>
        <v>0</v>
      </c>
      <c r="AN16" s="47">
        <f t="shared" si="1"/>
        <v>0</v>
      </c>
      <c r="AO16" s="47">
        <f t="shared" si="1"/>
        <v>0</v>
      </c>
    </row>
    <row r="17" spans="1:41" ht="16.5" customHeight="1" x14ac:dyDescent="0.25">
      <c r="A17" s="39">
        <f>YearToDate!A20</f>
        <v>11</v>
      </c>
      <c r="B17" s="40" t="str">
        <f>VLOOKUP(A17,YearToDate!$A$9:$B$34,2,0)</f>
        <v>VERA EGELAMBA EZINNE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47">
        <f t="shared" si="2"/>
        <v>0</v>
      </c>
      <c r="AI17" s="47">
        <f t="shared" si="2"/>
        <v>0</v>
      </c>
      <c r="AJ17" s="47">
        <f t="shared" si="2"/>
        <v>0</v>
      </c>
      <c r="AK17" s="47">
        <f t="shared" si="2"/>
        <v>0</v>
      </c>
      <c r="AL17" s="47">
        <f t="shared" si="2"/>
        <v>0</v>
      </c>
      <c r="AM17" s="47">
        <f t="shared" si="2"/>
        <v>0</v>
      </c>
      <c r="AN17" s="47">
        <f t="shared" si="2"/>
        <v>0</v>
      </c>
      <c r="AO17" s="47">
        <f t="shared" si="2"/>
        <v>0</v>
      </c>
    </row>
    <row r="18" spans="1:41" ht="16.5" customHeight="1" x14ac:dyDescent="0.25">
      <c r="A18" s="39">
        <f>YearToDate!A21</f>
        <v>18</v>
      </c>
      <c r="B18" s="40" t="str">
        <f>VLOOKUP(A18,YearToDate!$A$9:$B$34,2,0)</f>
        <v>NAIMA LABARAN DABO</v>
      </c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47">
        <f t="shared" si="2"/>
        <v>0</v>
      </c>
      <c r="AI18" s="47">
        <f t="shared" si="2"/>
        <v>0</v>
      </c>
      <c r="AJ18" s="47">
        <f t="shared" si="2"/>
        <v>0</v>
      </c>
      <c r="AK18" s="47">
        <f t="shared" si="2"/>
        <v>0</v>
      </c>
      <c r="AL18" s="47">
        <f t="shared" si="2"/>
        <v>0</v>
      </c>
      <c r="AM18" s="47">
        <f t="shared" si="2"/>
        <v>0</v>
      </c>
      <c r="AN18" s="47">
        <f t="shared" si="2"/>
        <v>0</v>
      </c>
      <c r="AO18" s="47">
        <f t="shared" si="2"/>
        <v>0</v>
      </c>
    </row>
    <row r="19" spans="1:41" ht="16.5" customHeight="1" x14ac:dyDescent="0.25">
      <c r="A19" s="39">
        <f>YearToDate!A22</f>
        <v>19</v>
      </c>
      <c r="B19" s="40">
        <f>VLOOKUP(A19,YearToDate!$A$9:$B$34,2,0)</f>
        <v>0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47">
        <f t="shared" si="2"/>
        <v>0</v>
      </c>
      <c r="AI19" s="47">
        <f t="shared" si="2"/>
        <v>0</v>
      </c>
      <c r="AJ19" s="47">
        <f t="shared" si="2"/>
        <v>0</v>
      </c>
      <c r="AK19" s="47">
        <f t="shared" si="2"/>
        <v>0</v>
      </c>
      <c r="AL19" s="47">
        <f t="shared" si="2"/>
        <v>0</v>
      </c>
      <c r="AM19" s="47">
        <f t="shared" si="2"/>
        <v>0</v>
      </c>
      <c r="AN19" s="47">
        <f t="shared" si="2"/>
        <v>0</v>
      </c>
      <c r="AO19" s="47">
        <f t="shared" si="2"/>
        <v>0</v>
      </c>
    </row>
    <row r="20" spans="1:41" ht="16.5" customHeight="1" x14ac:dyDescent="0.25">
      <c r="A20" s="39">
        <f>YearToDate!A23</f>
        <v>20</v>
      </c>
      <c r="B20" s="40">
        <f>VLOOKUP(A20,YearToDate!$A$9:$B$34,2,0)</f>
        <v>0</v>
      </c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47">
        <f t="shared" si="2"/>
        <v>0</v>
      </c>
      <c r="AI20" s="47">
        <f t="shared" si="2"/>
        <v>0</v>
      </c>
      <c r="AJ20" s="47">
        <f t="shared" si="2"/>
        <v>0</v>
      </c>
      <c r="AK20" s="47">
        <f t="shared" si="2"/>
        <v>0</v>
      </c>
      <c r="AL20" s="47">
        <f t="shared" si="2"/>
        <v>0</v>
      </c>
      <c r="AM20" s="47">
        <f t="shared" si="2"/>
        <v>0</v>
      </c>
      <c r="AN20" s="47">
        <f t="shared" si="2"/>
        <v>0</v>
      </c>
      <c r="AO20" s="47">
        <f t="shared" si="2"/>
        <v>0</v>
      </c>
    </row>
    <row r="21" spans="1:41" ht="16.5" customHeight="1" x14ac:dyDescent="0.25">
      <c r="A21" s="39">
        <f>YearToDate!A24</f>
        <v>21</v>
      </c>
      <c r="B21" s="40">
        <f>VLOOKUP(A21,YearToDate!$A$9:$B$34,2,0)</f>
        <v>0</v>
      </c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47">
        <f t="shared" si="2"/>
        <v>0</v>
      </c>
      <c r="AI21" s="47">
        <f t="shared" si="2"/>
        <v>0</v>
      </c>
      <c r="AJ21" s="47">
        <f t="shared" si="2"/>
        <v>0</v>
      </c>
      <c r="AK21" s="47">
        <f t="shared" si="2"/>
        <v>0</v>
      </c>
      <c r="AL21" s="47">
        <f t="shared" si="2"/>
        <v>0</v>
      </c>
      <c r="AM21" s="47">
        <f t="shared" si="2"/>
        <v>0</v>
      </c>
      <c r="AN21" s="47">
        <f t="shared" si="2"/>
        <v>0</v>
      </c>
      <c r="AO21" s="47">
        <f t="shared" si="2"/>
        <v>0</v>
      </c>
    </row>
    <row r="22" spans="1:41" ht="16.5" customHeight="1" x14ac:dyDescent="0.25">
      <c r="A22" s="39">
        <f>YearToDate!A25</f>
        <v>22</v>
      </c>
      <c r="B22" s="40">
        <f>VLOOKUP(A22,YearToDate!$A$9:$B$34,2,0)</f>
        <v>0</v>
      </c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47">
        <f t="shared" si="2"/>
        <v>0</v>
      </c>
      <c r="AI22" s="47">
        <f t="shared" si="2"/>
        <v>0</v>
      </c>
      <c r="AJ22" s="47">
        <f t="shared" si="2"/>
        <v>0</v>
      </c>
      <c r="AK22" s="47">
        <f t="shared" si="2"/>
        <v>0</v>
      </c>
      <c r="AL22" s="47">
        <f t="shared" si="2"/>
        <v>0</v>
      </c>
      <c r="AM22" s="47">
        <f t="shared" si="2"/>
        <v>0</v>
      </c>
      <c r="AN22" s="47">
        <f t="shared" si="2"/>
        <v>0</v>
      </c>
      <c r="AO22" s="47">
        <f t="shared" si="2"/>
        <v>0</v>
      </c>
    </row>
    <row r="23" spans="1:41" ht="16.5" customHeight="1" x14ac:dyDescent="0.25">
      <c r="A23" s="39">
        <f>YearToDate!A26</f>
        <v>23</v>
      </c>
      <c r="B23" s="40">
        <f>VLOOKUP(A23,YearToDate!$A$9:$B$34,2,0)</f>
        <v>0</v>
      </c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47">
        <f t="shared" si="2"/>
        <v>0</v>
      </c>
      <c r="AI23" s="47">
        <f t="shared" si="2"/>
        <v>0</v>
      </c>
      <c r="AJ23" s="47">
        <f t="shared" si="2"/>
        <v>0</v>
      </c>
      <c r="AK23" s="47">
        <f t="shared" si="2"/>
        <v>0</v>
      </c>
      <c r="AL23" s="47">
        <f t="shared" si="2"/>
        <v>0</v>
      </c>
      <c r="AM23" s="47">
        <f t="shared" si="2"/>
        <v>0</v>
      </c>
      <c r="AN23" s="47">
        <f t="shared" si="2"/>
        <v>0</v>
      </c>
      <c r="AO23" s="47">
        <f t="shared" si="2"/>
        <v>0</v>
      </c>
    </row>
    <row r="24" spans="1:41" ht="16.5" customHeight="1" x14ac:dyDescent="0.25">
      <c r="A24" s="39">
        <f>YearToDate!A27</f>
        <v>24</v>
      </c>
      <c r="B24" s="40">
        <f>VLOOKUP(A24,YearToDate!$A$9:$B$34,2,0)</f>
        <v>0</v>
      </c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47">
        <f t="shared" si="2"/>
        <v>0</v>
      </c>
      <c r="AI24" s="47">
        <f t="shared" si="2"/>
        <v>0</v>
      </c>
      <c r="AJ24" s="47">
        <f t="shared" si="2"/>
        <v>0</v>
      </c>
      <c r="AK24" s="47">
        <f t="shared" si="2"/>
        <v>0</v>
      </c>
      <c r="AL24" s="47">
        <f t="shared" si="2"/>
        <v>0</v>
      </c>
      <c r="AM24" s="47">
        <f t="shared" si="2"/>
        <v>0</v>
      </c>
      <c r="AN24" s="47">
        <f t="shared" si="2"/>
        <v>0</v>
      </c>
      <c r="AO24" s="47">
        <f t="shared" si="2"/>
        <v>0</v>
      </c>
    </row>
    <row r="25" spans="1:41" ht="16.5" customHeight="1" x14ac:dyDescent="0.25">
      <c r="A25" s="39">
        <f>YearToDate!A28</f>
        <v>25</v>
      </c>
      <c r="B25" s="40">
        <f>VLOOKUP(A25,YearToDate!$A$9:$B$34,2,0)</f>
        <v>0</v>
      </c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47">
        <f t="shared" si="2"/>
        <v>0</v>
      </c>
      <c r="AI25" s="47">
        <f t="shared" si="2"/>
        <v>0</v>
      </c>
      <c r="AJ25" s="47">
        <f t="shared" si="2"/>
        <v>0</v>
      </c>
      <c r="AK25" s="47">
        <f t="shared" si="2"/>
        <v>0</v>
      </c>
      <c r="AL25" s="47">
        <f t="shared" si="2"/>
        <v>0</v>
      </c>
      <c r="AM25" s="47">
        <f t="shared" si="2"/>
        <v>0</v>
      </c>
      <c r="AN25" s="47">
        <f t="shared" si="2"/>
        <v>0</v>
      </c>
      <c r="AO25" s="47">
        <f t="shared" si="2"/>
        <v>0</v>
      </c>
    </row>
    <row r="26" spans="1:41" ht="16.5" customHeight="1" x14ac:dyDescent="0.25">
      <c r="A26" s="39">
        <f>YearToDate!A29</f>
        <v>26</v>
      </c>
      <c r="B26" s="40">
        <f>VLOOKUP(A26,YearToDate!$A$9:$B$34,2,0)</f>
        <v>0</v>
      </c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47">
        <f t="shared" si="2"/>
        <v>0</v>
      </c>
      <c r="AI26" s="47">
        <f t="shared" si="2"/>
        <v>0</v>
      </c>
      <c r="AJ26" s="47">
        <f t="shared" si="2"/>
        <v>0</v>
      </c>
      <c r="AK26" s="47">
        <f t="shared" si="2"/>
        <v>0</v>
      </c>
      <c r="AL26" s="47">
        <f t="shared" si="2"/>
        <v>0</v>
      </c>
      <c r="AM26" s="47">
        <f t="shared" si="2"/>
        <v>0</v>
      </c>
      <c r="AN26" s="47">
        <f t="shared" si="2"/>
        <v>0</v>
      </c>
      <c r="AO26" s="47">
        <f t="shared" si="2"/>
        <v>0</v>
      </c>
    </row>
    <row r="27" spans="1:41" ht="16.5" customHeight="1" x14ac:dyDescent="0.25">
      <c r="A27" s="39">
        <f>YearToDate!A30</f>
        <v>27</v>
      </c>
      <c r="B27" s="40">
        <f>VLOOKUP(A27,YearToDate!$A$9:$B$34,2,0)</f>
        <v>0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47">
        <f t="shared" si="2"/>
        <v>0</v>
      </c>
      <c r="AI27" s="47">
        <f t="shared" si="2"/>
        <v>0</v>
      </c>
      <c r="AJ27" s="47">
        <f t="shared" si="2"/>
        <v>0</v>
      </c>
      <c r="AK27" s="47">
        <f t="shared" si="2"/>
        <v>0</v>
      </c>
      <c r="AL27" s="47">
        <f t="shared" si="2"/>
        <v>0</v>
      </c>
      <c r="AM27" s="47">
        <f t="shared" si="2"/>
        <v>0</v>
      </c>
      <c r="AN27" s="47">
        <f t="shared" si="2"/>
        <v>0</v>
      </c>
      <c r="AO27" s="47">
        <f t="shared" si="2"/>
        <v>0</v>
      </c>
    </row>
    <row r="28" spans="1:41" ht="16.5" customHeight="1" x14ac:dyDescent="0.25">
      <c r="A28" s="39">
        <f>YearToDate!A31</f>
        <v>28</v>
      </c>
      <c r="B28" s="40">
        <f>VLOOKUP(A28,YearToDate!$A$9:$B$34,2,0)</f>
        <v>0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47">
        <f t="shared" si="2"/>
        <v>0</v>
      </c>
      <c r="AI28" s="47">
        <f t="shared" si="2"/>
        <v>0</v>
      </c>
      <c r="AJ28" s="47">
        <f t="shared" si="2"/>
        <v>0</v>
      </c>
      <c r="AK28" s="47">
        <f t="shared" si="2"/>
        <v>0</v>
      </c>
      <c r="AL28" s="47">
        <f t="shared" si="2"/>
        <v>0</v>
      </c>
      <c r="AM28" s="47">
        <f t="shared" si="2"/>
        <v>0</v>
      </c>
      <c r="AN28" s="47">
        <f t="shared" si="2"/>
        <v>0</v>
      </c>
      <c r="AO28" s="47">
        <f t="shared" si="2"/>
        <v>0</v>
      </c>
    </row>
    <row r="29" spans="1:41" ht="16.5" customHeight="1" x14ac:dyDescent="0.25">
      <c r="A29" s="39">
        <f>YearToDate!A32</f>
        <v>29</v>
      </c>
      <c r="B29" s="40">
        <f>VLOOKUP(A29,YearToDate!$A$9:$B$34,2,0)</f>
        <v>0</v>
      </c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47">
        <f t="shared" si="2"/>
        <v>0</v>
      </c>
      <c r="AI29" s="47">
        <f t="shared" si="2"/>
        <v>0</v>
      </c>
      <c r="AJ29" s="47">
        <f t="shared" si="2"/>
        <v>0</v>
      </c>
      <c r="AK29" s="47">
        <f t="shared" si="2"/>
        <v>0</v>
      </c>
      <c r="AL29" s="47">
        <f t="shared" si="2"/>
        <v>0</v>
      </c>
      <c r="AM29" s="47">
        <f t="shared" si="2"/>
        <v>0</v>
      </c>
      <c r="AN29" s="47">
        <f t="shared" si="2"/>
        <v>0</v>
      </c>
      <c r="AO29" s="47">
        <f t="shared" si="2"/>
        <v>0</v>
      </c>
    </row>
    <row r="30" spans="1:41" s="28" customFormat="1" ht="16.5" customHeight="1" x14ac:dyDescent="0.25">
      <c r="A30" s="32"/>
      <c r="B30" s="33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48"/>
      <c r="AI30" s="48"/>
      <c r="AJ30" s="48"/>
      <c r="AK30" s="48"/>
      <c r="AL30" s="48"/>
      <c r="AM30" s="48"/>
      <c r="AN30" s="48"/>
      <c r="AO30" s="48"/>
    </row>
    <row r="31" spans="1:41" ht="16.5" customHeight="1" x14ac:dyDescent="0.25">
      <c r="A31" s="29" t="str">
        <f>HYPERLINK("https://www.vertex42.com/templates/employee-leave-tracker.html","https://www.vertex42.com/templates/employee-leave-tracker.html")</f>
        <v>https://www.vertex42.com/templates/employee-leave-tracker.html</v>
      </c>
      <c r="B31" s="35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AG31" s="37" t="s">
        <v>40</v>
      </c>
      <c r="AH31" s="49">
        <f>SUM(AH7:AH30)</f>
        <v>0</v>
      </c>
      <c r="AI31" s="49">
        <f>SUM(AI7:AI30)</f>
        <v>0</v>
      </c>
      <c r="AJ31" s="49">
        <f>SUM(AJ7:AJ30)</f>
        <v>0</v>
      </c>
      <c r="AK31" s="49">
        <f>SUM(AK7:AK30)</f>
        <v>0</v>
      </c>
      <c r="AL31" s="49">
        <f>SUM(AL7:AL30)</f>
        <v>0</v>
      </c>
      <c r="AM31" s="49">
        <f t="shared" ref="AM31:AN31" si="3">SUM(AM7:AM30)</f>
        <v>0</v>
      </c>
      <c r="AN31" s="49">
        <f t="shared" si="3"/>
        <v>0</v>
      </c>
      <c r="AO31" s="49">
        <f>SUM(AO7:AO30)</f>
        <v>0</v>
      </c>
    </row>
    <row r="32" spans="1:41" x14ac:dyDescent="0.25">
      <c r="A32" s="73"/>
      <c r="B32" s="73"/>
    </row>
  </sheetData>
  <mergeCells count="3">
    <mergeCell ref="C4:AG4"/>
    <mergeCell ref="A32:B32"/>
    <mergeCell ref="AH4:AO4"/>
  </mergeCells>
  <conditionalFormatting sqref="C6:AG6">
    <cfRule type="expression" dxfId="35" priority="1" stopIfTrue="1">
      <formula>OR(WEEKDAY(C$6,1)=1,WEEKDAY(C$6,1)=7)</formula>
    </cfRule>
    <cfRule type="cellIs" dxfId="34" priority="2" stopIfTrue="1" operator="equal">
      <formula>""</formula>
    </cfRule>
  </conditionalFormatting>
  <conditionalFormatting sqref="C7:AG29">
    <cfRule type="expression" dxfId="33" priority="3" stopIfTrue="1">
      <formula>OR(WEEKDAY(C$6)=1,WEEKDAY(C$6)=7)</formula>
    </cfRule>
    <cfRule type="expression" dxfId="32" priority="4" stopIfTrue="1">
      <formula>C$6=""</formula>
    </cfRule>
  </conditionalFormatting>
  <dataValidations count="1">
    <dataValidation type="list" allowBlank="1" sqref="C7:AG29">
      <formula1>$AH$6:$AO$6</formula1>
    </dataValidation>
  </dataValidations>
  <printOptions horizontalCentered="1"/>
  <pageMargins left="0.25" right="0.25" top="0.25" bottom="0.25" header="0.5" footer="0.5"/>
  <pageSetup scale="95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O32"/>
  <sheetViews>
    <sheetView showGridLines="0" zoomScale="90" zoomScaleNormal="90" workbookViewId="0">
      <selection activeCell="AR19" sqref="AR19"/>
    </sheetView>
  </sheetViews>
  <sheetFormatPr defaultColWidth="9.1796875" defaultRowHeight="12.5" x14ac:dyDescent="0.25"/>
  <cols>
    <col min="1" max="1" width="5.453125" style="18" customWidth="1"/>
    <col min="2" max="2" width="26.26953125" style="18" customWidth="1"/>
    <col min="3" max="33" width="3.26953125" style="18" customWidth="1"/>
    <col min="34" max="41" width="4.26953125" style="18" customWidth="1"/>
    <col min="42" max="16384" width="9.1796875" style="18"/>
  </cols>
  <sheetData>
    <row r="1" spans="1:41" ht="26.25" customHeight="1" x14ac:dyDescent="0.25">
      <c r="A1" s="17" t="str">
        <f>"August "&amp;YearToDate!$B$3</f>
        <v>August 2024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26" t="s">
        <v>0</v>
      </c>
    </row>
    <row r="2" spans="1:41" x14ac:dyDescent="0.25">
      <c r="AO2" s="27" t="s">
        <v>39</v>
      </c>
    </row>
    <row r="4" spans="1:41" ht="22" customHeight="1" x14ac:dyDescent="0.25">
      <c r="A4" s="60" t="s">
        <v>6</v>
      </c>
      <c r="B4" s="61"/>
      <c r="C4" s="74" t="str">
        <f>YearToDate!$A$5</f>
        <v>A = Annual,  S = Sick, M = Maternity, CM = Compationate, T = Terminal leave, ST = Study, E = Examination, CA = Casual</v>
      </c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1" t="s">
        <v>36</v>
      </c>
      <c r="AI4" s="71"/>
      <c r="AJ4" s="71"/>
      <c r="AK4" s="71"/>
      <c r="AL4" s="71"/>
      <c r="AM4" s="71"/>
      <c r="AN4" s="71"/>
      <c r="AO4" s="71"/>
    </row>
    <row r="5" spans="1:41" ht="16.5" customHeight="1" x14ac:dyDescent="0.25">
      <c r="A5" s="58"/>
      <c r="B5" s="59"/>
      <c r="C5" s="30" t="str">
        <f>IF(C6="","",INDEX({"Su";"M";"Tu";"W";"Th";"F";"Sa"},WEEKDAY(C6,1)))</f>
        <v>Th</v>
      </c>
      <c r="D5" s="30" t="str">
        <f>IF(D6="","",INDEX({"Su";"M";"Tu";"W";"Th";"F";"Sa"},WEEKDAY(D6,1)))</f>
        <v>F</v>
      </c>
      <c r="E5" s="30" t="str">
        <f>IF(E6="","",INDEX({"Su";"M";"Tu";"W";"Th";"F";"Sa"},WEEKDAY(E6,1)))</f>
        <v>Sa</v>
      </c>
      <c r="F5" s="30" t="str">
        <f>IF(F6="","",INDEX({"Su";"M";"Tu";"W";"Th";"F";"Sa"},WEEKDAY(F6,1)))</f>
        <v>Su</v>
      </c>
      <c r="G5" s="30" t="str">
        <f>IF(G6="","",INDEX({"Su";"M";"Tu";"W";"Th";"F";"Sa"},WEEKDAY(G6,1)))</f>
        <v>M</v>
      </c>
      <c r="H5" s="30" t="str">
        <f>IF(H6="","",INDEX({"Su";"M";"Tu";"W";"Th";"F";"Sa"},WEEKDAY(H6,1)))</f>
        <v>Tu</v>
      </c>
      <c r="I5" s="30" t="str">
        <f>IF(I6="","",INDEX({"Su";"M";"Tu";"W";"Th";"F";"Sa"},WEEKDAY(I6,1)))</f>
        <v>W</v>
      </c>
      <c r="J5" s="30" t="str">
        <f>IF(J6="","",INDEX({"Su";"M";"Tu";"W";"Th";"F";"Sa"},WEEKDAY(J6,1)))</f>
        <v>Th</v>
      </c>
      <c r="K5" s="30" t="str">
        <f>IF(K6="","",INDEX({"Su";"M";"Tu";"W";"Th";"F";"Sa"},WEEKDAY(K6,1)))</f>
        <v>F</v>
      </c>
      <c r="L5" s="30" t="str">
        <f>IF(L6="","",INDEX({"Su";"M";"Tu";"W";"Th";"F";"Sa"},WEEKDAY(L6,1)))</f>
        <v>Sa</v>
      </c>
      <c r="M5" s="30" t="str">
        <f>IF(M6="","",INDEX({"Su";"M";"Tu";"W";"Th";"F";"Sa"},WEEKDAY(M6,1)))</f>
        <v>Su</v>
      </c>
      <c r="N5" s="30" t="str">
        <f>IF(N6="","",INDEX({"Su";"M";"Tu";"W";"Th";"F";"Sa"},WEEKDAY(N6,1)))</f>
        <v>M</v>
      </c>
      <c r="O5" s="30" t="str">
        <f>IF(O6="","",INDEX({"Su";"M";"Tu";"W";"Th";"F";"Sa"},WEEKDAY(O6,1)))</f>
        <v>Tu</v>
      </c>
      <c r="P5" s="30" t="str">
        <f>IF(P6="","",INDEX({"Su";"M";"Tu";"W";"Th";"F";"Sa"},WEEKDAY(P6,1)))</f>
        <v>W</v>
      </c>
      <c r="Q5" s="30" t="str">
        <f>IF(Q6="","",INDEX({"Su";"M";"Tu";"W";"Th";"F";"Sa"},WEEKDAY(Q6,1)))</f>
        <v>Th</v>
      </c>
      <c r="R5" s="30" t="str">
        <f>IF(R6="","",INDEX({"Su";"M";"Tu";"W";"Th";"F";"Sa"},WEEKDAY(R6,1)))</f>
        <v>F</v>
      </c>
      <c r="S5" s="30" t="str">
        <f>IF(S6="","",INDEX({"Su";"M";"Tu";"W";"Th";"F";"Sa"},WEEKDAY(S6,1)))</f>
        <v>Sa</v>
      </c>
      <c r="T5" s="30" t="str">
        <f>IF(T6="","",INDEX({"Su";"M";"Tu";"W";"Th";"F";"Sa"},WEEKDAY(T6,1)))</f>
        <v>Su</v>
      </c>
      <c r="U5" s="30" t="str">
        <f>IF(U6="","",INDEX({"Su";"M";"Tu";"W";"Th";"F";"Sa"},WEEKDAY(U6,1)))</f>
        <v>M</v>
      </c>
      <c r="V5" s="30" t="str">
        <f>IF(V6="","",INDEX({"Su";"M";"Tu";"W";"Th";"F";"Sa"},WEEKDAY(V6,1)))</f>
        <v>Tu</v>
      </c>
      <c r="W5" s="30" t="str">
        <f>IF(W6="","",INDEX({"Su";"M";"Tu";"W";"Th";"F";"Sa"},WEEKDAY(W6,1)))</f>
        <v>W</v>
      </c>
      <c r="X5" s="30" t="str">
        <f>IF(X6="","",INDEX({"Su";"M";"Tu";"W";"Th";"F";"Sa"},WEEKDAY(X6,1)))</f>
        <v>Th</v>
      </c>
      <c r="Y5" s="30" t="str">
        <f>IF(Y6="","",INDEX({"Su";"M";"Tu";"W";"Th";"F";"Sa"},WEEKDAY(Y6,1)))</f>
        <v>F</v>
      </c>
      <c r="Z5" s="30" t="str">
        <f>IF(Z6="","",INDEX({"Su";"M";"Tu";"W";"Th";"F";"Sa"},WEEKDAY(Z6,1)))</f>
        <v>Sa</v>
      </c>
      <c r="AA5" s="30" t="str">
        <f>IF(AA6="","",INDEX({"Su";"M";"Tu";"W";"Th";"F";"Sa"},WEEKDAY(AA6,1)))</f>
        <v>Su</v>
      </c>
      <c r="AB5" s="30" t="str">
        <f>IF(AB6="","",INDEX({"Su";"M";"Tu";"W";"Th";"F";"Sa"},WEEKDAY(AB6,1)))</f>
        <v>M</v>
      </c>
      <c r="AC5" s="30" t="str">
        <f>IF(AC6="","",INDEX({"Su";"M";"Tu";"W";"Th";"F";"Sa"},WEEKDAY(AC6,1)))</f>
        <v>Tu</v>
      </c>
      <c r="AD5" s="30" t="str">
        <f>IF(AD6="","",INDEX({"Su";"M";"Tu";"W";"Th";"F";"Sa"},WEEKDAY(AD6,1)))</f>
        <v>W</v>
      </c>
      <c r="AE5" s="30" t="str">
        <f>IF(AE6="","",INDEX({"Su";"M";"Tu";"W";"Th";"F";"Sa"},WEEKDAY(AE6,1)))</f>
        <v>Th</v>
      </c>
      <c r="AF5" s="30" t="str">
        <f>IF(AF6="","",INDEX({"Su";"M";"Tu";"W";"Th";"F";"Sa"},WEEKDAY(AF6,1)))</f>
        <v>F</v>
      </c>
      <c r="AG5" s="30" t="str">
        <f>IF(AG6="","",INDEX({"Su";"M";"Tu";"W";"Th";"F";"Sa"},WEEKDAY(AG6,1)))</f>
        <v>Sa</v>
      </c>
      <c r="AH5" s="62"/>
      <c r="AI5" s="62"/>
      <c r="AJ5" s="62"/>
      <c r="AK5" s="62"/>
      <c r="AL5" s="62"/>
      <c r="AM5" s="62"/>
      <c r="AN5" s="62"/>
      <c r="AO5" s="62"/>
    </row>
    <row r="6" spans="1:41" ht="16.5" customHeight="1" x14ac:dyDescent="0.25">
      <c r="A6" s="45" t="s">
        <v>8</v>
      </c>
      <c r="B6" s="38" t="s">
        <v>9</v>
      </c>
      <c r="C6" s="43">
        <f>DATE(YearToDate!$B$3,8,1)</f>
        <v>45505</v>
      </c>
      <c r="D6" s="43">
        <f>C6+1</f>
        <v>45506</v>
      </c>
      <c r="E6" s="43">
        <f t="shared" ref="E6:AD6" si="0">D6+1</f>
        <v>45507</v>
      </c>
      <c r="F6" s="43">
        <f t="shared" si="0"/>
        <v>45508</v>
      </c>
      <c r="G6" s="43">
        <f>F6+1</f>
        <v>45509</v>
      </c>
      <c r="H6" s="43">
        <f t="shared" si="0"/>
        <v>45510</v>
      </c>
      <c r="I6" s="43">
        <f t="shared" si="0"/>
        <v>45511</v>
      </c>
      <c r="J6" s="43">
        <f t="shared" si="0"/>
        <v>45512</v>
      </c>
      <c r="K6" s="43">
        <f t="shared" si="0"/>
        <v>45513</v>
      </c>
      <c r="L6" s="43">
        <f t="shared" si="0"/>
        <v>45514</v>
      </c>
      <c r="M6" s="43">
        <f t="shared" si="0"/>
        <v>45515</v>
      </c>
      <c r="N6" s="43">
        <f t="shared" si="0"/>
        <v>45516</v>
      </c>
      <c r="O6" s="43">
        <f t="shared" si="0"/>
        <v>45517</v>
      </c>
      <c r="P6" s="43">
        <f t="shared" si="0"/>
        <v>45518</v>
      </c>
      <c r="Q6" s="43">
        <f t="shared" si="0"/>
        <v>45519</v>
      </c>
      <c r="R6" s="43">
        <f t="shared" si="0"/>
        <v>45520</v>
      </c>
      <c r="S6" s="43">
        <f t="shared" si="0"/>
        <v>45521</v>
      </c>
      <c r="T6" s="43">
        <f t="shared" si="0"/>
        <v>45522</v>
      </c>
      <c r="U6" s="43">
        <f t="shared" si="0"/>
        <v>45523</v>
      </c>
      <c r="V6" s="43">
        <f t="shared" si="0"/>
        <v>45524</v>
      </c>
      <c r="W6" s="43">
        <f t="shared" si="0"/>
        <v>45525</v>
      </c>
      <c r="X6" s="43">
        <f t="shared" si="0"/>
        <v>45526</v>
      </c>
      <c r="Y6" s="43">
        <f t="shared" si="0"/>
        <v>45527</v>
      </c>
      <c r="Z6" s="43">
        <f t="shared" si="0"/>
        <v>45528</v>
      </c>
      <c r="AA6" s="43">
        <f t="shared" si="0"/>
        <v>45529</v>
      </c>
      <c r="AB6" s="43">
        <f t="shared" si="0"/>
        <v>45530</v>
      </c>
      <c r="AC6" s="43">
        <f t="shared" si="0"/>
        <v>45531</v>
      </c>
      <c r="AD6" s="43">
        <f t="shared" si="0"/>
        <v>45532</v>
      </c>
      <c r="AE6" s="43">
        <f>IF(MONTH($AD6+1)&gt;MONTH($C$6),"",$AD6+1)</f>
        <v>45533</v>
      </c>
      <c r="AF6" s="43">
        <f>IF(MONTH($AD6+2)&gt;MONTH($C$6),"",$AD6+2)</f>
        <v>45534</v>
      </c>
      <c r="AG6" s="43">
        <f>IF(MONTH($AD6+3)&gt;MONTH($C$6),"",$AD6+3)</f>
        <v>45535</v>
      </c>
      <c r="AH6" s="31" t="str">
        <f>YearToDate!C9</f>
        <v>A</v>
      </c>
      <c r="AI6" s="31" t="str">
        <f>YearToDate!E9</f>
        <v>S</v>
      </c>
      <c r="AJ6" s="31" t="str">
        <f>YearToDate!G9</f>
        <v>M</v>
      </c>
      <c r="AK6" s="31" t="str">
        <f>YearToDate!I9</f>
        <v>CM</v>
      </c>
      <c r="AL6" s="31" t="str">
        <f>YearToDate!K9</f>
        <v>T</v>
      </c>
      <c r="AM6" s="31" t="str">
        <f>YearToDate!M9</f>
        <v>ST</v>
      </c>
      <c r="AN6" s="31" t="str">
        <f>YearToDate!O9</f>
        <v>E</v>
      </c>
      <c r="AO6" s="31" t="str">
        <f>YearToDate!Q9</f>
        <v>CA</v>
      </c>
    </row>
    <row r="7" spans="1:41" ht="16.5" customHeight="1" x14ac:dyDescent="0.25">
      <c r="A7" s="39">
        <f>YearToDate!A10</f>
        <v>1</v>
      </c>
      <c r="B7" s="40" t="str">
        <f>VLOOKUP(A7,YearToDate!$A$9:$B$34,2,0)</f>
        <v>AHMAN ABDULJABBAR</v>
      </c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47">
        <f>COUNTIF($C7:$AG7,AH$6)+0.5*COUNTIF($C7:$AG7,AH$6&amp;"H")+0.5*COUNTIF($C7:$AG7,"H"&amp;AH$6)</f>
        <v>0</v>
      </c>
      <c r="AI7" s="47">
        <f t="shared" ref="AI7:AO16" si="1">COUNTIF($C7:$AG7,AI$6)+0.5*COUNTIF($C7:$AG7,AI$6&amp;"H")+0.5*COUNTIF($C7:$AG7,"H"&amp;AI$6)</f>
        <v>0</v>
      </c>
      <c r="AJ7" s="47">
        <f t="shared" si="1"/>
        <v>0</v>
      </c>
      <c r="AK7" s="47">
        <f t="shared" si="1"/>
        <v>0</v>
      </c>
      <c r="AL7" s="47">
        <f t="shared" si="1"/>
        <v>0</v>
      </c>
      <c r="AM7" s="47">
        <f t="shared" si="1"/>
        <v>0</v>
      </c>
      <c r="AN7" s="47">
        <f t="shared" si="1"/>
        <v>0</v>
      </c>
      <c r="AO7" s="47">
        <f t="shared" si="1"/>
        <v>0</v>
      </c>
    </row>
    <row r="8" spans="1:41" ht="16.5" customHeight="1" x14ac:dyDescent="0.25">
      <c r="A8" s="39">
        <f>YearToDate!A11</f>
        <v>2</v>
      </c>
      <c r="B8" s="40" t="str">
        <f>VLOOKUP(A8,YearToDate!$A$9:$B$34,2,0)</f>
        <v>ALIYU MUSA ABUBAKAR</v>
      </c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47">
        <f t="shared" ref="AH8:AO29" si="2">COUNTIF($C8:$AG8,AH$6)+0.5*COUNTIF($C8:$AG8,AH$6&amp;"H")+0.5*COUNTIF($C8:$AG8,"H"&amp;AH$6)</f>
        <v>0</v>
      </c>
      <c r="AI8" s="47">
        <f t="shared" si="1"/>
        <v>0</v>
      </c>
      <c r="AJ8" s="47">
        <f t="shared" si="1"/>
        <v>0</v>
      </c>
      <c r="AK8" s="47">
        <f t="shared" si="1"/>
        <v>0</v>
      </c>
      <c r="AL8" s="47">
        <f t="shared" si="1"/>
        <v>0</v>
      </c>
      <c r="AM8" s="47">
        <f t="shared" si="1"/>
        <v>0</v>
      </c>
      <c r="AN8" s="47">
        <f t="shared" si="1"/>
        <v>0</v>
      </c>
      <c r="AO8" s="47">
        <f t="shared" si="1"/>
        <v>0</v>
      </c>
    </row>
    <row r="9" spans="1:41" ht="16.5" customHeight="1" x14ac:dyDescent="0.25">
      <c r="A9" s="39">
        <f>YearToDate!A12</f>
        <v>3</v>
      </c>
      <c r="B9" s="40" t="str">
        <f>VLOOKUP(A9,YearToDate!$A$9:$B$34,2,0)</f>
        <v>GOSTA ALIYU</v>
      </c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47">
        <f t="shared" si="2"/>
        <v>0</v>
      </c>
      <c r="AI9" s="47">
        <f t="shared" si="1"/>
        <v>0</v>
      </c>
      <c r="AJ9" s="47">
        <f t="shared" si="1"/>
        <v>0</v>
      </c>
      <c r="AK9" s="47">
        <f t="shared" si="1"/>
        <v>0</v>
      </c>
      <c r="AL9" s="47">
        <f t="shared" si="1"/>
        <v>0</v>
      </c>
      <c r="AM9" s="47">
        <f t="shared" si="1"/>
        <v>0</v>
      </c>
      <c r="AN9" s="47">
        <f t="shared" si="1"/>
        <v>0</v>
      </c>
      <c r="AO9" s="47">
        <f t="shared" si="1"/>
        <v>0</v>
      </c>
    </row>
    <row r="10" spans="1:41" ht="16.5" customHeight="1" x14ac:dyDescent="0.25">
      <c r="A10" s="39">
        <f>YearToDate!A13</f>
        <v>4</v>
      </c>
      <c r="B10" s="40" t="str">
        <f>VLOOKUP(A10,YearToDate!$A$9:$B$34,2,0)</f>
        <v>IBRAHIM TUKURA RILWAN</v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47">
        <f t="shared" si="2"/>
        <v>0</v>
      </c>
      <c r="AI10" s="47">
        <f t="shared" si="1"/>
        <v>0</v>
      </c>
      <c r="AJ10" s="47">
        <f t="shared" si="1"/>
        <v>0</v>
      </c>
      <c r="AK10" s="47">
        <f t="shared" si="1"/>
        <v>0</v>
      </c>
      <c r="AL10" s="47">
        <f t="shared" si="1"/>
        <v>0</v>
      </c>
      <c r="AM10" s="47">
        <f t="shared" si="1"/>
        <v>0</v>
      </c>
      <c r="AN10" s="47">
        <f t="shared" si="1"/>
        <v>0</v>
      </c>
      <c r="AO10" s="47">
        <f t="shared" si="1"/>
        <v>0</v>
      </c>
    </row>
    <row r="11" spans="1:41" ht="16.5" customHeight="1" x14ac:dyDescent="0.25">
      <c r="A11" s="39">
        <f>YearToDate!A14</f>
        <v>5</v>
      </c>
      <c r="B11" s="40" t="str">
        <f>VLOOKUP(A11,YearToDate!$A$9:$B$34,2,0)</f>
        <v>HASSAN HABEEB</v>
      </c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47">
        <f t="shared" si="2"/>
        <v>0</v>
      </c>
      <c r="AI11" s="47">
        <f t="shared" si="1"/>
        <v>0</v>
      </c>
      <c r="AJ11" s="47">
        <f t="shared" si="1"/>
        <v>0</v>
      </c>
      <c r="AK11" s="47">
        <f t="shared" si="1"/>
        <v>0</v>
      </c>
      <c r="AL11" s="47">
        <f t="shared" si="1"/>
        <v>0</v>
      </c>
      <c r="AM11" s="47">
        <f t="shared" si="1"/>
        <v>0</v>
      </c>
      <c r="AN11" s="47">
        <f t="shared" si="1"/>
        <v>0</v>
      </c>
      <c r="AO11" s="47">
        <f t="shared" si="1"/>
        <v>0</v>
      </c>
    </row>
    <row r="12" spans="1:41" ht="16.5" customHeight="1" x14ac:dyDescent="0.25">
      <c r="A12" s="39">
        <f>YearToDate!A15</f>
        <v>6</v>
      </c>
      <c r="B12" s="40" t="str">
        <f>VLOOKUP(A12,YearToDate!$A$9:$B$34,2,0)</f>
        <v>SHEHU NABILA</v>
      </c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47">
        <f t="shared" si="2"/>
        <v>0</v>
      </c>
      <c r="AI12" s="47">
        <f t="shared" si="1"/>
        <v>0</v>
      </c>
      <c r="AJ12" s="47">
        <f t="shared" si="1"/>
        <v>0</v>
      </c>
      <c r="AK12" s="47">
        <f t="shared" si="1"/>
        <v>0</v>
      </c>
      <c r="AL12" s="47">
        <f t="shared" si="1"/>
        <v>0</v>
      </c>
      <c r="AM12" s="47">
        <f t="shared" si="1"/>
        <v>0</v>
      </c>
      <c r="AN12" s="47">
        <f t="shared" si="1"/>
        <v>0</v>
      </c>
      <c r="AO12" s="47">
        <f t="shared" si="1"/>
        <v>0</v>
      </c>
    </row>
    <row r="13" spans="1:41" ht="16.5" customHeight="1" x14ac:dyDescent="0.25">
      <c r="A13" s="39">
        <f>YearToDate!A16</f>
        <v>7</v>
      </c>
      <c r="B13" s="40" t="str">
        <f>VLOOKUP(A13,YearToDate!$A$9:$B$34,2,0)</f>
        <v>SULEMAN IBRAHIM</v>
      </c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47">
        <f t="shared" si="2"/>
        <v>0</v>
      </c>
      <c r="AI13" s="47">
        <f t="shared" si="1"/>
        <v>0</v>
      </c>
      <c r="AJ13" s="47">
        <f t="shared" si="1"/>
        <v>0</v>
      </c>
      <c r="AK13" s="47">
        <f t="shared" si="1"/>
        <v>0</v>
      </c>
      <c r="AL13" s="47">
        <f t="shared" si="1"/>
        <v>0</v>
      </c>
      <c r="AM13" s="47">
        <f t="shared" si="1"/>
        <v>0</v>
      </c>
      <c r="AN13" s="47">
        <f t="shared" si="1"/>
        <v>0</v>
      </c>
      <c r="AO13" s="47">
        <f t="shared" si="1"/>
        <v>0</v>
      </c>
    </row>
    <row r="14" spans="1:41" ht="16.5" customHeight="1" x14ac:dyDescent="0.25">
      <c r="A14" s="39">
        <f>YearToDate!A17</f>
        <v>8</v>
      </c>
      <c r="B14" s="40" t="str">
        <f>VLOOKUP(A14,YearToDate!$A$9:$B$34,2,0)</f>
        <v>EMMANUELA LONGJAP</v>
      </c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47">
        <f t="shared" si="2"/>
        <v>0</v>
      </c>
      <c r="AI14" s="47">
        <f t="shared" si="1"/>
        <v>0</v>
      </c>
      <c r="AJ14" s="47">
        <f t="shared" si="1"/>
        <v>0</v>
      </c>
      <c r="AK14" s="47">
        <f t="shared" si="1"/>
        <v>0</v>
      </c>
      <c r="AL14" s="47">
        <f t="shared" si="1"/>
        <v>0</v>
      </c>
      <c r="AM14" s="47">
        <f t="shared" si="1"/>
        <v>0</v>
      </c>
      <c r="AN14" s="47">
        <f t="shared" si="1"/>
        <v>0</v>
      </c>
      <c r="AO14" s="47">
        <f t="shared" si="1"/>
        <v>0</v>
      </c>
    </row>
    <row r="15" spans="1:41" ht="16.5" customHeight="1" x14ac:dyDescent="0.25">
      <c r="A15" s="39">
        <f>YearToDate!A18</f>
        <v>9</v>
      </c>
      <c r="B15" s="40" t="str">
        <f>VLOOKUP(A15,YearToDate!$A$9:$B$34,2,0)</f>
        <v xml:space="preserve">OLUCHI EZE 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47">
        <f t="shared" si="2"/>
        <v>0</v>
      </c>
      <c r="AI15" s="47">
        <f t="shared" si="1"/>
        <v>0</v>
      </c>
      <c r="AJ15" s="47">
        <f t="shared" si="1"/>
        <v>0</v>
      </c>
      <c r="AK15" s="47">
        <f t="shared" si="1"/>
        <v>0</v>
      </c>
      <c r="AL15" s="47">
        <f t="shared" si="1"/>
        <v>0</v>
      </c>
      <c r="AM15" s="47">
        <f t="shared" si="1"/>
        <v>0</v>
      </c>
      <c r="AN15" s="47">
        <f t="shared" si="1"/>
        <v>0</v>
      </c>
      <c r="AO15" s="47">
        <f t="shared" si="1"/>
        <v>0</v>
      </c>
    </row>
    <row r="16" spans="1:41" ht="16.5" customHeight="1" x14ac:dyDescent="0.25">
      <c r="A16" s="39">
        <f>YearToDate!A19</f>
        <v>10</v>
      </c>
      <c r="B16" s="40" t="str">
        <f>VLOOKUP(A16,YearToDate!$A$9:$B$34,2,0)</f>
        <v>NURA ABDULLAHI</v>
      </c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47">
        <f t="shared" si="2"/>
        <v>0</v>
      </c>
      <c r="AI16" s="47">
        <f t="shared" si="1"/>
        <v>0</v>
      </c>
      <c r="AJ16" s="47">
        <f t="shared" si="1"/>
        <v>0</v>
      </c>
      <c r="AK16" s="47">
        <f t="shared" si="1"/>
        <v>0</v>
      </c>
      <c r="AL16" s="47">
        <f t="shared" si="1"/>
        <v>0</v>
      </c>
      <c r="AM16" s="47">
        <f t="shared" si="1"/>
        <v>0</v>
      </c>
      <c r="AN16" s="47">
        <f t="shared" si="1"/>
        <v>0</v>
      </c>
      <c r="AO16" s="47">
        <f t="shared" si="1"/>
        <v>0</v>
      </c>
    </row>
    <row r="17" spans="1:41" ht="16.5" customHeight="1" x14ac:dyDescent="0.25">
      <c r="A17" s="39">
        <f>YearToDate!A20</f>
        <v>11</v>
      </c>
      <c r="B17" s="40" t="str">
        <f>VLOOKUP(A17,YearToDate!$A$9:$B$34,2,0)</f>
        <v>VERA EGELAMBA EZINNE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47">
        <f t="shared" si="2"/>
        <v>0</v>
      </c>
      <c r="AI17" s="47">
        <f t="shared" si="2"/>
        <v>0</v>
      </c>
      <c r="AJ17" s="47">
        <f t="shared" si="2"/>
        <v>0</v>
      </c>
      <c r="AK17" s="47">
        <f t="shared" si="2"/>
        <v>0</v>
      </c>
      <c r="AL17" s="47">
        <f t="shared" si="2"/>
        <v>0</v>
      </c>
      <c r="AM17" s="47">
        <f t="shared" si="2"/>
        <v>0</v>
      </c>
      <c r="AN17" s="47">
        <f t="shared" si="2"/>
        <v>0</v>
      </c>
      <c r="AO17" s="47">
        <f t="shared" si="2"/>
        <v>0</v>
      </c>
    </row>
    <row r="18" spans="1:41" ht="16.5" customHeight="1" x14ac:dyDescent="0.25">
      <c r="A18" s="39">
        <f>YearToDate!A21</f>
        <v>18</v>
      </c>
      <c r="B18" s="40" t="str">
        <f>VLOOKUP(A18,YearToDate!$A$9:$B$34,2,0)</f>
        <v>NAIMA LABARAN DABO</v>
      </c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47">
        <f t="shared" si="2"/>
        <v>0</v>
      </c>
      <c r="AI18" s="47">
        <f t="shared" si="2"/>
        <v>0</v>
      </c>
      <c r="AJ18" s="47">
        <f t="shared" si="2"/>
        <v>0</v>
      </c>
      <c r="AK18" s="47">
        <f t="shared" si="2"/>
        <v>0</v>
      </c>
      <c r="AL18" s="47">
        <f t="shared" si="2"/>
        <v>0</v>
      </c>
      <c r="AM18" s="47">
        <f t="shared" si="2"/>
        <v>0</v>
      </c>
      <c r="AN18" s="47">
        <f t="shared" si="2"/>
        <v>0</v>
      </c>
      <c r="AO18" s="47">
        <f t="shared" si="2"/>
        <v>0</v>
      </c>
    </row>
    <row r="19" spans="1:41" ht="16.5" customHeight="1" x14ac:dyDescent="0.25">
      <c r="A19" s="39">
        <f>YearToDate!A22</f>
        <v>19</v>
      </c>
      <c r="B19" s="40">
        <f>VLOOKUP(A19,YearToDate!$A$9:$B$34,2,0)</f>
        <v>0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47">
        <f t="shared" si="2"/>
        <v>0</v>
      </c>
      <c r="AI19" s="47">
        <f t="shared" si="2"/>
        <v>0</v>
      </c>
      <c r="AJ19" s="47">
        <f t="shared" si="2"/>
        <v>0</v>
      </c>
      <c r="AK19" s="47">
        <f t="shared" si="2"/>
        <v>0</v>
      </c>
      <c r="AL19" s="47">
        <f t="shared" si="2"/>
        <v>0</v>
      </c>
      <c r="AM19" s="47">
        <f t="shared" si="2"/>
        <v>0</v>
      </c>
      <c r="AN19" s="47">
        <f t="shared" si="2"/>
        <v>0</v>
      </c>
      <c r="AO19" s="47">
        <f t="shared" si="2"/>
        <v>0</v>
      </c>
    </row>
    <row r="20" spans="1:41" ht="16.5" customHeight="1" x14ac:dyDescent="0.25">
      <c r="A20" s="39">
        <f>YearToDate!A23</f>
        <v>20</v>
      </c>
      <c r="B20" s="40">
        <f>VLOOKUP(A20,YearToDate!$A$9:$B$34,2,0)</f>
        <v>0</v>
      </c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47">
        <f t="shared" si="2"/>
        <v>0</v>
      </c>
      <c r="AI20" s="47">
        <f t="shared" si="2"/>
        <v>0</v>
      </c>
      <c r="AJ20" s="47">
        <f t="shared" si="2"/>
        <v>0</v>
      </c>
      <c r="AK20" s="47">
        <f t="shared" si="2"/>
        <v>0</v>
      </c>
      <c r="AL20" s="47">
        <f t="shared" si="2"/>
        <v>0</v>
      </c>
      <c r="AM20" s="47">
        <f t="shared" si="2"/>
        <v>0</v>
      </c>
      <c r="AN20" s="47">
        <f t="shared" si="2"/>
        <v>0</v>
      </c>
      <c r="AO20" s="47">
        <f t="shared" si="2"/>
        <v>0</v>
      </c>
    </row>
    <row r="21" spans="1:41" ht="16.5" customHeight="1" x14ac:dyDescent="0.25">
      <c r="A21" s="39">
        <f>YearToDate!A24</f>
        <v>21</v>
      </c>
      <c r="B21" s="40">
        <f>VLOOKUP(A21,YearToDate!$A$9:$B$34,2,0)</f>
        <v>0</v>
      </c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47">
        <f t="shared" si="2"/>
        <v>0</v>
      </c>
      <c r="AI21" s="47">
        <f t="shared" si="2"/>
        <v>0</v>
      </c>
      <c r="AJ21" s="47">
        <f t="shared" si="2"/>
        <v>0</v>
      </c>
      <c r="AK21" s="47">
        <f t="shared" si="2"/>
        <v>0</v>
      </c>
      <c r="AL21" s="47">
        <f t="shared" si="2"/>
        <v>0</v>
      </c>
      <c r="AM21" s="47">
        <f t="shared" si="2"/>
        <v>0</v>
      </c>
      <c r="AN21" s="47">
        <f t="shared" si="2"/>
        <v>0</v>
      </c>
      <c r="AO21" s="47">
        <f t="shared" si="2"/>
        <v>0</v>
      </c>
    </row>
    <row r="22" spans="1:41" ht="16.5" customHeight="1" x14ac:dyDescent="0.25">
      <c r="A22" s="39">
        <f>YearToDate!A25</f>
        <v>22</v>
      </c>
      <c r="B22" s="40">
        <f>VLOOKUP(A22,YearToDate!$A$9:$B$34,2,0)</f>
        <v>0</v>
      </c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47">
        <f t="shared" si="2"/>
        <v>0</v>
      </c>
      <c r="AI22" s="47">
        <f t="shared" si="2"/>
        <v>0</v>
      </c>
      <c r="AJ22" s="47">
        <f t="shared" si="2"/>
        <v>0</v>
      </c>
      <c r="AK22" s="47">
        <f t="shared" si="2"/>
        <v>0</v>
      </c>
      <c r="AL22" s="47">
        <f t="shared" si="2"/>
        <v>0</v>
      </c>
      <c r="AM22" s="47">
        <f t="shared" si="2"/>
        <v>0</v>
      </c>
      <c r="AN22" s="47">
        <f t="shared" si="2"/>
        <v>0</v>
      </c>
      <c r="AO22" s="47">
        <f t="shared" si="2"/>
        <v>0</v>
      </c>
    </row>
    <row r="23" spans="1:41" ht="16.5" customHeight="1" x14ac:dyDescent="0.25">
      <c r="A23" s="39">
        <f>YearToDate!A26</f>
        <v>23</v>
      </c>
      <c r="B23" s="40">
        <f>VLOOKUP(A23,YearToDate!$A$9:$B$34,2,0)</f>
        <v>0</v>
      </c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47">
        <f t="shared" si="2"/>
        <v>0</v>
      </c>
      <c r="AI23" s="47">
        <f t="shared" si="2"/>
        <v>0</v>
      </c>
      <c r="AJ23" s="47">
        <f t="shared" si="2"/>
        <v>0</v>
      </c>
      <c r="AK23" s="47">
        <f t="shared" si="2"/>
        <v>0</v>
      </c>
      <c r="AL23" s="47">
        <f t="shared" si="2"/>
        <v>0</v>
      </c>
      <c r="AM23" s="47">
        <f t="shared" si="2"/>
        <v>0</v>
      </c>
      <c r="AN23" s="47">
        <f t="shared" si="2"/>
        <v>0</v>
      </c>
      <c r="AO23" s="47">
        <f t="shared" si="2"/>
        <v>0</v>
      </c>
    </row>
    <row r="24" spans="1:41" ht="16.5" customHeight="1" x14ac:dyDescent="0.25">
      <c r="A24" s="39">
        <f>YearToDate!A27</f>
        <v>24</v>
      </c>
      <c r="B24" s="40">
        <f>VLOOKUP(A24,YearToDate!$A$9:$B$34,2,0)</f>
        <v>0</v>
      </c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47">
        <f t="shared" si="2"/>
        <v>0</v>
      </c>
      <c r="AI24" s="47">
        <f t="shared" si="2"/>
        <v>0</v>
      </c>
      <c r="AJ24" s="47">
        <f t="shared" si="2"/>
        <v>0</v>
      </c>
      <c r="AK24" s="47">
        <f t="shared" si="2"/>
        <v>0</v>
      </c>
      <c r="AL24" s="47">
        <f t="shared" si="2"/>
        <v>0</v>
      </c>
      <c r="AM24" s="47">
        <f t="shared" si="2"/>
        <v>0</v>
      </c>
      <c r="AN24" s="47">
        <f t="shared" si="2"/>
        <v>0</v>
      </c>
      <c r="AO24" s="47">
        <f t="shared" si="2"/>
        <v>0</v>
      </c>
    </row>
    <row r="25" spans="1:41" ht="16.5" customHeight="1" x14ac:dyDescent="0.25">
      <c r="A25" s="39">
        <f>YearToDate!A28</f>
        <v>25</v>
      </c>
      <c r="B25" s="40">
        <f>VLOOKUP(A25,YearToDate!$A$9:$B$34,2,0)</f>
        <v>0</v>
      </c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47">
        <f t="shared" si="2"/>
        <v>0</v>
      </c>
      <c r="AI25" s="47">
        <f t="shared" si="2"/>
        <v>0</v>
      </c>
      <c r="AJ25" s="47">
        <f t="shared" si="2"/>
        <v>0</v>
      </c>
      <c r="AK25" s="47">
        <f t="shared" si="2"/>
        <v>0</v>
      </c>
      <c r="AL25" s="47">
        <f t="shared" si="2"/>
        <v>0</v>
      </c>
      <c r="AM25" s="47">
        <f t="shared" si="2"/>
        <v>0</v>
      </c>
      <c r="AN25" s="47">
        <f t="shared" si="2"/>
        <v>0</v>
      </c>
      <c r="AO25" s="47">
        <f t="shared" si="2"/>
        <v>0</v>
      </c>
    </row>
    <row r="26" spans="1:41" ht="16.5" customHeight="1" x14ac:dyDescent="0.25">
      <c r="A26" s="39">
        <f>YearToDate!A29</f>
        <v>26</v>
      </c>
      <c r="B26" s="40">
        <f>VLOOKUP(A26,YearToDate!$A$9:$B$34,2,0)</f>
        <v>0</v>
      </c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47">
        <f t="shared" si="2"/>
        <v>0</v>
      </c>
      <c r="AI26" s="47">
        <f t="shared" si="2"/>
        <v>0</v>
      </c>
      <c r="AJ26" s="47">
        <f t="shared" si="2"/>
        <v>0</v>
      </c>
      <c r="AK26" s="47">
        <f t="shared" si="2"/>
        <v>0</v>
      </c>
      <c r="AL26" s="47">
        <f t="shared" si="2"/>
        <v>0</v>
      </c>
      <c r="AM26" s="47">
        <f t="shared" si="2"/>
        <v>0</v>
      </c>
      <c r="AN26" s="47">
        <f t="shared" si="2"/>
        <v>0</v>
      </c>
      <c r="AO26" s="47">
        <f t="shared" si="2"/>
        <v>0</v>
      </c>
    </row>
    <row r="27" spans="1:41" ht="16.5" customHeight="1" x14ac:dyDescent="0.25">
      <c r="A27" s="39">
        <f>YearToDate!A30</f>
        <v>27</v>
      </c>
      <c r="B27" s="40">
        <f>VLOOKUP(A27,YearToDate!$A$9:$B$34,2,0)</f>
        <v>0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47">
        <f t="shared" si="2"/>
        <v>0</v>
      </c>
      <c r="AI27" s="47">
        <f t="shared" si="2"/>
        <v>0</v>
      </c>
      <c r="AJ27" s="47">
        <f t="shared" si="2"/>
        <v>0</v>
      </c>
      <c r="AK27" s="47">
        <f t="shared" si="2"/>
        <v>0</v>
      </c>
      <c r="AL27" s="47">
        <f t="shared" si="2"/>
        <v>0</v>
      </c>
      <c r="AM27" s="47">
        <f t="shared" si="2"/>
        <v>0</v>
      </c>
      <c r="AN27" s="47">
        <f t="shared" si="2"/>
        <v>0</v>
      </c>
      <c r="AO27" s="47">
        <f t="shared" si="2"/>
        <v>0</v>
      </c>
    </row>
    <row r="28" spans="1:41" ht="16.5" customHeight="1" x14ac:dyDescent="0.25">
      <c r="A28" s="39">
        <f>YearToDate!A31</f>
        <v>28</v>
      </c>
      <c r="B28" s="40">
        <f>VLOOKUP(A28,YearToDate!$A$9:$B$34,2,0)</f>
        <v>0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47">
        <f t="shared" si="2"/>
        <v>0</v>
      </c>
      <c r="AI28" s="47">
        <f t="shared" si="2"/>
        <v>0</v>
      </c>
      <c r="AJ28" s="47">
        <f t="shared" si="2"/>
        <v>0</v>
      </c>
      <c r="AK28" s="47">
        <f t="shared" si="2"/>
        <v>0</v>
      </c>
      <c r="AL28" s="47">
        <f t="shared" si="2"/>
        <v>0</v>
      </c>
      <c r="AM28" s="47">
        <f t="shared" si="2"/>
        <v>0</v>
      </c>
      <c r="AN28" s="47">
        <f t="shared" si="2"/>
        <v>0</v>
      </c>
      <c r="AO28" s="47">
        <f t="shared" si="2"/>
        <v>0</v>
      </c>
    </row>
    <row r="29" spans="1:41" ht="16.5" customHeight="1" x14ac:dyDescent="0.25">
      <c r="A29" s="39">
        <f>YearToDate!A32</f>
        <v>29</v>
      </c>
      <c r="B29" s="40">
        <f>VLOOKUP(A29,YearToDate!$A$9:$B$34,2,0)</f>
        <v>0</v>
      </c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47">
        <f t="shared" si="2"/>
        <v>0</v>
      </c>
      <c r="AI29" s="47">
        <f t="shared" si="2"/>
        <v>0</v>
      </c>
      <c r="AJ29" s="47">
        <f t="shared" si="2"/>
        <v>0</v>
      </c>
      <c r="AK29" s="47">
        <f t="shared" si="2"/>
        <v>0</v>
      </c>
      <c r="AL29" s="47">
        <f t="shared" si="2"/>
        <v>0</v>
      </c>
      <c r="AM29" s="47">
        <f t="shared" si="2"/>
        <v>0</v>
      </c>
      <c r="AN29" s="47">
        <f t="shared" si="2"/>
        <v>0</v>
      </c>
      <c r="AO29" s="47">
        <f t="shared" si="2"/>
        <v>0</v>
      </c>
    </row>
    <row r="30" spans="1:41" s="28" customFormat="1" ht="16.5" customHeight="1" x14ac:dyDescent="0.25">
      <c r="A30" s="32"/>
      <c r="B30" s="33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48"/>
      <c r="AI30" s="48"/>
      <c r="AJ30" s="48"/>
      <c r="AK30" s="48"/>
      <c r="AL30" s="48"/>
      <c r="AM30" s="48"/>
      <c r="AN30" s="48"/>
      <c r="AO30" s="48"/>
    </row>
    <row r="31" spans="1:41" ht="16.5" customHeight="1" x14ac:dyDescent="0.25">
      <c r="A31" s="29" t="str">
        <f>HYPERLINK("https://www.vertex42.com/templates/employee-leave-tracker.html","https://www.vertex42.com/templates/employee-leave-tracker.html")</f>
        <v>https://www.vertex42.com/templates/employee-leave-tracker.html</v>
      </c>
      <c r="B31" s="35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AG31" s="37" t="s">
        <v>40</v>
      </c>
      <c r="AH31" s="49">
        <f>SUM(AH7:AH30)</f>
        <v>0</v>
      </c>
      <c r="AI31" s="49">
        <f>SUM(AI7:AI30)</f>
        <v>0</v>
      </c>
      <c r="AJ31" s="49">
        <f>SUM(AJ7:AJ30)</f>
        <v>0</v>
      </c>
      <c r="AK31" s="49">
        <f>SUM(AK7:AK30)</f>
        <v>0</v>
      </c>
      <c r="AL31" s="49">
        <f>SUM(AL7:AL30)</f>
        <v>0</v>
      </c>
      <c r="AM31" s="49">
        <f t="shared" ref="AM31:AN31" si="3">SUM(AM7:AM30)</f>
        <v>0</v>
      </c>
      <c r="AN31" s="49">
        <f t="shared" si="3"/>
        <v>0</v>
      </c>
      <c r="AO31" s="49">
        <f>SUM(AO7:AO30)</f>
        <v>0</v>
      </c>
    </row>
    <row r="32" spans="1:41" x14ac:dyDescent="0.25">
      <c r="A32" s="73"/>
      <c r="B32" s="73"/>
    </row>
  </sheetData>
  <mergeCells count="3">
    <mergeCell ref="A32:B32"/>
    <mergeCell ref="C4:AG4"/>
    <mergeCell ref="AH4:AO4"/>
  </mergeCells>
  <phoneticPr fontId="1" type="noConversion"/>
  <conditionalFormatting sqref="C6:AG6">
    <cfRule type="expression" dxfId="31" priority="2" stopIfTrue="1">
      <formula>OR(WEEKDAY(C$6,1)=1,WEEKDAY(C$6,1)=7)</formula>
    </cfRule>
    <cfRule type="cellIs" dxfId="30" priority="3" stopIfTrue="1" operator="equal">
      <formula>""</formula>
    </cfRule>
  </conditionalFormatting>
  <conditionalFormatting sqref="C7:AG29">
    <cfRule type="expression" dxfId="29" priority="4" stopIfTrue="1">
      <formula>OR(WEEKDAY(C$6)=1,WEEKDAY(C$6)=7)</formula>
    </cfRule>
    <cfRule type="expression" dxfId="28" priority="5" stopIfTrue="1">
      <formula>C$6=""</formula>
    </cfRule>
  </conditionalFormatting>
  <dataValidations count="1">
    <dataValidation type="list" allowBlank="1" sqref="C7:AG29">
      <formula1>$AH$6:$AO$6</formula1>
    </dataValidation>
  </dataValidations>
  <printOptions horizontalCentered="1"/>
  <pageMargins left="0.25" right="0.25" top="0.25" bottom="0.25" header="0.5" footer="0.5"/>
  <pageSetup scale="95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O32"/>
  <sheetViews>
    <sheetView showGridLines="0" zoomScale="90" zoomScaleNormal="90" workbookViewId="0">
      <selection activeCell="AA13" sqref="AA13:AB14"/>
    </sheetView>
  </sheetViews>
  <sheetFormatPr defaultColWidth="9.1796875" defaultRowHeight="12.5" x14ac:dyDescent="0.25"/>
  <cols>
    <col min="1" max="1" width="5.453125" style="18" customWidth="1"/>
    <col min="2" max="2" width="24" style="18" customWidth="1"/>
    <col min="3" max="33" width="3.26953125" style="18" customWidth="1"/>
    <col min="34" max="41" width="4.26953125" style="18" customWidth="1"/>
    <col min="42" max="16384" width="9.1796875" style="18"/>
  </cols>
  <sheetData>
    <row r="1" spans="1:41" ht="26.25" customHeight="1" x14ac:dyDescent="0.25">
      <c r="A1" s="17" t="str">
        <f>"September "&amp;YearToDate!$B$3</f>
        <v>September 2024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26" t="s">
        <v>0</v>
      </c>
    </row>
    <row r="2" spans="1:41" x14ac:dyDescent="0.25">
      <c r="AO2" s="27" t="s">
        <v>39</v>
      </c>
    </row>
    <row r="4" spans="1:41" ht="22" customHeight="1" x14ac:dyDescent="0.25">
      <c r="A4" s="60" t="s">
        <v>6</v>
      </c>
      <c r="B4" s="61"/>
      <c r="C4" s="74" t="str">
        <f>YearToDate!$A$5</f>
        <v>A = Annual,  S = Sick, M = Maternity, CM = Compationate, T = Terminal leave, ST = Study, E = Examination, CA = Casual</v>
      </c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1" t="s">
        <v>36</v>
      </c>
      <c r="AI4" s="71"/>
      <c r="AJ4" s="71"/>
      <c r="AK4" s="71"/>
      <c r="AL4" s="71"/>
      <c r="AM4" s="71"/>
      <c r="AN4" s="71"/>
      <c r="AO4" s="71"/>
    </row>
    <row r="5" spans="1:41" ht="16.5" customHeight="1" x14ac:dyDescent="0.25">
      <c r="A5" s="58"/>
      <c r="B5" s="59"/>
      <c r="C5" s="30" t="str">
        <f>IF(C6="","",INDEX({"Su";"M";"Tu";"W";"Th";"F";"Sa"},WEEKDAY(C6,1)))</f>
        <v>Su</v>
      </c>
      <c r="D5" s="30" t="str">
        <f>IF(D6="","",INDEX({"Su";"M";"Tu";"W";"Th";"F";"Sa"},WEEKDAY(D6,1)))</f>
        <v>M</v>
      </c>
      <c r="E5" s="30" t="str">
        <f>IF(E6="","",INDEX({"Su";"M";"Tu";"W";"Th";"F";"Sa"},WEEKDAY(E6,1)))</f>
        <v>Tu</v>
      </c>
      <c r="F5" s="30" t="str">
        <f>IF(F6="","",INDEX({"Su";"M";"Tu";"W";"Th";"F";"Sa"},WEEKDAY(F6,1)))</f>
        <v>W</v>
      </c>
      <c r="G5" s="30" t="str">
        <f>IF(G6="","",INDEX({"Su";"M";"Tu";"W";"Th";"F";"Sa"},WEEKDAY(G6,1)))</f>
        <v>Th</v>
      </c>
      <c r="H5" s="30" t="str">
        <f>IF(H6="","",INDEX({"Su";"M";"Tu";"W";"Th";"F";"Sa"},WEEKDAY(H6,1)))</f>
        <v>F</v>
      </c>
      <c r="I5" s="30" t="str">
        <f>IF(I6="","",INDEX({"Su";"M";"Tu";"W";"Th";"F";"Sa"},WEEKDAY(I6,1)))</f>
        <v>Sa</v>
      </c>
      <c r="J5" s="30" t="str">
        <f>IF(J6="","",INDEX({"Su";"M";"Tu";"W";"Th";"F";"Sa"},WEEKDAY(J6,1)))</f>
        <v>Su</v>
      </c>
      <c r="K5" s="30" t="str">
        <f>IF(K6="","",INDEX({"Su";"M";"Tu";"W";"Th";"F";"Sa"},WEEKDAY(K6,1)))</f>
        <v>M</v>
      </c>
      <c r="L5" s="30" t="str">
        <f>IF(L6="","",INDEX({"Su";"M";"Tu";"W";"Th";"F";"Sa"},WEEKDAY(L6,1)))</f>
        <v>Tu</v>
      </c>
      <c r="M5" s="30" t="str">
        <f>IF(M6="","",INDEX({"Su";"M";"Tu";"W";"Th";"F";"Sa"},WEEKDAY(M6,1)))</f>
        <v>W</v>
      </c>
      <c r="N5" s="30" t="str">
        <f>IF(N6="","",INDEX({"Su";"M";"Tu";"W";"Th";"F";"Sa"},WEEKDAY(N6,1)))</f>
        <v>Th</v>
      </c>
      <c r="O5" s="30" t="str">
        <f>IF(O6="","",INDEX({"Su";"M";"Tu";"W";"Th";"F";"Sa"},WEEKDAY(O6,1)))</f>
        <v>F</v>
      </c>
      <c r="P5" s="30" t="str">
        <f>IF(P6="","",INDEX({"Su";"M";"Tu";"W";"Th";"F";"Sa"},WEEKDAY(P6,1)))</f>
        <v>Sa</v>
      </c>
      <c r="Q5" s="30" t="str">
        <f>IF(Q6="","",INDEX({"Su";"M";"Tu";"W";"Th";"F";"Sa"},WEEKDAY(Q6,1)))</f>
        <v>Su</v>
      </c>
      <c r="R5" s="30" t="str">
        <f>IF(R6="","",INDEX({"Su";"M";"Tu";"W";"Th";"F";"Sa"},WEEKDAY(R6,1)))</f>
        <v>M</v>
      </c>
      <c r="S5" s="30" t="str">
        <f>IF(S6="","",INDEX({"Su";"M";"Tu";"W";"Th";"F";"Sa"},WEEKDAY(S6,1)))</f>
        <v>Tu</v>
      </c>
      <c r="T5" s="30" t="str">
        <f>IF(T6="","",INDEX({"Su";"M";"Tu";"W";"Th";"F";"Sa"},WEEKDAY(T6,1)))</f>
        <v>W</v>
      </c>
      <c r="U5" s="30" t="str">
        <f>IF(U6="","",INDEX({"Su";"M";"Tu";"W";"Th";"F";"Sa"},WEEKDAY(U6,1)))</f>
        <v>Th</v>
      </c>
      <c r="V5" s="30" t="str">
        <f>IF(V6="","",INDEX({"Su";"M";"Tu";"W";"Th";"F";"Sa"},WEEKDAY(V6,1)))</f>
        <v>F</v>
      </c>
      <c r="W5" s="30" t="str">
        <f>IF(W6="","",INDEX({"Su";"M";"Tu";"W";"Th";"F";"Sa"},WEEKDAY(W6,1)))</f>
        <v>Sa</v>
      </c>
      <c r="X5" s="30" t="str">
        <f>IF(X6="","",INDEX({"Su";"M";"Tu";"W";"Th";"F";"Sa"},WEEKDAY(X6,1)))</f>
        <v>Su</v>
      </c>
      <c r="Y5" s="30" t="str">
        <f>IF(Y6="","",INDEX({"Su";"M";"Tu";"W";"Th";"F";"Sa"},WEEKDAY(Y6,1)))</f>
        <v>M</v>
      </c>
      <c r="Z5" s="30" t="str">
        <f>IF(Z6="","",INDEX({"Su";"M";"Tu";"W";"Th";"F";"Sa"},WEEKDAY(Z6,1)))</f>
        <v>Tu</v>
      </c>
      <c r="AA5" s="30" t="str">
        <f>IF(AA6="","",INDEX({"Su";"M";"Tu";"W";"Th";"F";"Sa"},WEEKDAY(AA6,1)))</f>
        <v>W</v>
      </c>
      <c r="AB5" s="30" t="str">
        <f>IF(AB6="","",INDEX({"Su";"M";"Tu";"W";"Th";"F";"Sa"},WEEKDAY(AB6,1)))</f>
        <v>Th</v>
      </c>
      <c r="AC5" s="30" t="str">
        <f>IF(AC6="","",INDEX({"Su";"M";"Tu";"W";"Th";"F";"Sa"},WEEKDAY(AC6,1)))</f>
        <v>F</v>
      </c>
      <c r="AD5" s="30" t="str">
        <f>IF(AD6="","",INDEX({"Su";"M";"Tu";"W";"Th";"F";"Sa"},WEEKDAY(AD6,1)))</f>
        <v>Sa</v>
      </c>
      <c r="AE5" s="30" t="str">
        <f>IF(AE6="","",INDEX({"Su";"M";"Tu";"W";"Th";"F";"Sa"},WEEKDAY(AE6,1)))</f>
        <v>Su</v>
      </c>
      <c r="AF5" s="30" t="str">
        <f>IF(AF6="","",INDEX({"Su";"M";"Tu";"W";"Th";"F";"Sa"},WEEKDAY(AF6,1)))</f>
        <v>M</v>
      </c>
      <c r="AG5" s="30" t="str">
        <f>IF(AG6="","",INDEX({"Su";"M";"Tu";"W";"Th";"F";"Sa"},WEEKDAY(AG6,1)))</f>
        <v/>
      </c>
      <c r="AH5" s="62"/>
      <c r="AI5" s="62"/>
      <c r="AJ5" s="62"/>
      <c r="AK5" s="62"/>
      <c r="AL5" s="62"/>
      <c r="AM5" s="62"/>
      <c r="AN5" s="62"/>
      <c r="AO5" s="62"/>
    </row>
    <row r="6" spans="1:41" ht="16.5" customHeight="1" x14ac:dyDescent="0.25">
      <c r="A6" s="45" t="s">
        <v>8</v>
      </c>
      <c r="B6" s="38" t="s">
        <v>9</v>
      </c>
      <c r="C6" s="43">
        <f>DATE(YearToDate!$B$3,9,1)</f>
        <v>45536</v>
      </c>
      <c r="D6" s="43">
        <f>C6+1</f>
        <v>45537</v>
      </c>
      <c r="E6" s="43">
        <f t="shared" ref="E6:AD6" si="0">D6+1</f>
        <v>45538</v>
      </c>
      <c r="F6" s="43">
        <f t="shared" si="0"/>
        <v>45539</v>
      </c>
      <c r="G6" s="43">
        <f>F6+1</f>
        <v>45540</v>
      </c>
      <c r="H6" s="43">
        <f t="shared" si="0"/>
        <v>45541</v>
      </c>
      <c r="I6" s="43">
        <f t="shared" si="0"/>
        <v>45542</v>
      </c>
      <c r="J6" s="43">
        <f t="shared" si="0"/>
        <v>45543</v>
      </c>
      <c r="K6" s="43">
        <f t="shared" si="0"/>
        <v>45544</v>
      </c>
      <c r="L6" s="43">
        <f t="shared" si="0"/>
        <v>45545</v>
      </c>
      <c r="M6" s="43">
        <f t="shared" si="0"/>
        <v>45546</v>
      </c>
      <c r="N6" s="43">
        <f t="shared" si="0"/>
        <v>45547</v>
      </c>
      <c r="O6" s="43">
        <f t="shared" si="0"/>
        <v>45548</v>
      </c>
      <c r="P6" s="43">
        <f t="shared" si="0"/>
        <v>45549</v>
      </c>
      <c r="Q6" s="43">
        <f t="shared" si="0"/>
        <v>45550</v>
      </c>
      <c r="R6" s="43">
        <f t="shared" si="0"/>
        <v>45551</v>
      </c>
      <c r="S6" s="43">
        <f t="shared" si="0"/>
        <v>45552</v>
      </c>
      <c r="T6" s="43">
        <f t="shared" si="0"/>
        <v>45553</v>
      </c>
      <c r="U6" s="43">
        <f t="shared" si="0"/>
        <v>45554</v>
      </c>
      <c r="V6" s="43">
        <f t="shared" si="0"/>
        <v>45555</v>
      </c>
      <c r="W6" s="43">
        <f t="shared" si="0"/>
        <v>45556</v>
      </c>
      <c r="X6" s="43">
        <f t="shared" si="0"/>
        <v>45557</v>
      </c>
      <c r="Y6" s="43">
        <f t="shared" si="0"/>
        <v>45558</v>
      </c>
      <c r="Z6" s="43">
        <f t="shared" si="0"/>
        <v>45559</v>
      </c>
      <c r="AA6" s="43">
        <f t="shared" si="0"/>
        <v>45560</v>
      </c>
      <c r="AB6" s="43">
        <f t="shared" si="0"/>
        <v>45561</v>
      </c>
      <c r="AC6" s="43">
        <f t="shared" si="0"/>
        <v>45562</v>
      </c>
      <c r="AD6" s="43">
        <f t="shared" si="0"/>
        <v>45563</v>
      </c>
      <c r="AE6" s="43">
        <f>IF(MONTH($AD6+1)&gt;MONTH($C$6),"",$AD6+1)</f>
        <v>45564</v>
      </c>
      <c r="AF6" s="43">
        <f>IF(MONTH($AD6+2)&gt;MONTH($C$6),"",$AD6+2)</f>
        <v>45565</v>
      </c>
      <c r="AG6" s="43" t="str">
        <f>IF(MONTH($AD6+3)&gt;MONTH($C$6),"",$AD6+3)</f>
        <v/>
      </c>
      <c r="AH6" s="31" t="str">
        <f>YearToDate!C9</f>
        <v>A</v>
      </c>
      <c r="AI6" s="31" t="str">
        <f>YearToDate!E9</f>
        <v>S</v>
      </c>
      <c r="AJ6" s="31" t="str">
        <f>YearToDate!G9</f>
        <v>M</v>
      </c>
      <c r="AK6" s="31" t="str">
        <f>YearToDate!I9</f>
        <v>CM</v>
      </c>
      <c r="AL6" s="31" t="str">
        <f>YearToDate!K9</f>
        <v>T</v>
      </c>
      <c r="AM6" s="31" t="str">
        <f>YearToDate!M9</f>
        <v>ST</v>
      </c>
      <c r="AN6" s="31" t="str">
        <f>YearToDate!O9</f>
        <v>E</v>
      </c>
      <c r="AO6" s="31" t="str">
        <f>YearToDate!Q9</f>
        <v>CA</v>
      </c>
    </row>
    <row r="7" spans="1:41" ht="16.5" customHeight="1" x14ac:dyDescent="0.25">
      <c r="A7" s="39">
        <f>YearToDate!A10</f>
        <v>1</v>
      </c>
      <c r="B7" s="40" t="str">
        <f>VLOOKUP(A7,YearToDate!$A$9:$B$34,2,0)</f>
        <v>AHMAN ABDULJABBAR</v>
      </c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47">
        <f>COUNTIF($C7:$AG7,AH$6)+0.5*COUNTIF($C7:$AG7,AH$6&amp;"H")+0.5*COUNTIF($C7:$AG7,"H"&amp;AH$6)</f>
        <v>0</v>
      </c>
      <c r="AI7" s="47">
        <f t="shared" ref="AI7:AO16" si="1">COUNTIF($C7:$AG7,AI$6)+0.5*COUNTIF($C7:$AG7,AI$6&amp;"H")+0.5*COUNTIF($C7:$AG7,"H"&amp;AI$6)</f>
        <v>0</v>
      </c>
      <c r="AJ7" s="47">
        <f t="shared" si="1"/>
        <v>0</v>
      </c>
      <c r="AK7" s="47">
        <f t="shared" si="1"/>
        <v>0</v>
      </c>
      <c r="AL7" s="47">
        <f t="shared" si="1"/>
        <v>0</v>
      </c>
      <c r="AM7" s="47">
        <f t="shared" si="1"/>
        <v>0</v>
      </c>
      <c r="AN7" s="47">
        <f t="shared" si="1"/>
        <v>0</v>
      </c>
      <c r="AO7" s="47">
        <f t="shared" si="1"/>
        <v>0</v>
      </c>
    </row>
    <row r="8" spans="1:41" ht="16.5" customHeight="1" x14ac:dyDescent="0.25">
      <c r="A8" s="39">
        <f>YearToDate!A11</f>
        <v>2</v>
      </c>
      <c r="B8" s="40" t="str">
        <f>VLOOKUP(A8,YearToDate!$A$9:$B$34,2,0)</f>
        <v>ALIYU MUSA ABUBAKAR</v>
      </c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47">
        <f t="shared" ref="AH8:AO29" si="2">COUNTIF($C8:$AG8,AH$6)+0.5*COUNTIF($C8:$AG8,AH$6&amp;"H")+0.5*COUNTIF($C8:$AG8,"H"&amp;AH$6)</f>
        <v>0</v>
      </c>
      <c r="AI8" s="47">
        <f t="shared" si="1"/>
        <v>0</v>
      </c>
      <c r="AJ8" s="47">
        <f t="shared" si="1"/>
        <v>0</v>
      </c>
      <c r="AK8" s="47">
        <f t="shared" si="1"/>
        <v>0</v>
      </c>
      <c r="AL8" s="47">
        <f t="shared" si="1"/>
        <v>0</v>
      </c>
      <c r="AM8" s="47">
        <f t="shared" si="1"/>
        <v>0</v>
      </c>
      <c r="AN8" s="47">
        <f t="shared" si="1"/>
        <v>0</v>
      </c>
      <c r="AO8" s="47">
        <f t="shared" si="1"/>
        <v>0</v>
      </c>
    </row>
    <row r="9" spans="1:41" ht="16.5" customHeight="1" x14ac:dyDescent="0.25">
      <c r="A9" s="39">
        <f>YearToDate!A12</f>
        <v>3</v>
      </c>
      <c r="B9" s="40" t="str">
        <f>VLOOKUP(A9,YearToDate!$A$9:$B$34,2,0)</f>
        <v>GOSTA ALIYU</v>
      </c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47">
        <f t="shared" si="2"/>
        <v>0</v>
      </c>
      <c r="AI9" s="47">
        <f t="shared" si="1"/>
        <v>0</v>
      </c>
      <c r="AJ9" s="47">
        <f t="shared" si="1"/>
        <v>0</v>
      </c>
      <c r="AK9" s="47">
        <f t="shared" si="1"/>
        <v>0</v>
      </c>
      <c r="AL9" s="47">
        <f t="shared" si="1"/>
        <v>0</v>
      </c>
      <c r="AM9" s="47">
        <f t="shared" si="1"/>
        <v>0</v>
      </c>
      <c r="AN9" s="47">
        <f t="shared" si="1"/>
        <v>0</v>
      </c>
      <c r="AO9" s="47">
        <f t="shared" si="1"/>
        <v>0</v>
      </c>
    </row>
    <row r="10" spans="1:41" ht="16.5" customHeight="1" x14ac:dyDescent="0.25">
      <c r="A10" s="39">
        <f>YearToDate!A13</f>
        <v>4</v>
      </c>
      <c r="B10" s="40" t="str">
        <f>VLOOKUP(A10,YearToDate!$A$9:$B$34,2,0)</f>
        <v>IBRAHIM TUKURA RILWAN</v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47">
        <f t="shared" si="2"/>
        <v>0</v>
      </c>
      <c r="AI10" s="47">
        <f t="shared" si="1"/>
        <v>0</v>
      </c>
      <c r="AJ10" s="47">
        <f t="shared" si="1"/>
        <v>0</v>
      </c>
      <c r="AK10" s="47">
        <f t="shared" si="1"/>
        <v>0</v>
      </c>
      <c r="AL10" s="47">
        <f t="shared" si="1"/>
        <v>0</v>
      </c>
      <c r="AM10" s="47">
        <f t="shared" si="1"/>
        <v>0</v>
      </c>
      <c r="AN10" s="47">
        <f t="shared" si="1"/>
        <v>0</v>
      </c>
      <c r="AO10" s="47">
        <f t="shared" si="1"/>
        <v>0</v>
      </c>
    </row>
    <row r="11" spans="1:41" ht="16.5" customHeight="1" x14ac:dyDescent="0.25">
      <c r="A11" s="39">
        <f>YearToDate!A14</f>
        <v>5</v>
      </c>
      <c r="B11" s="40" t="str">
        <f>VLOOKUP(A11,YearToDate!$A$9:$B$34,2,0)</f>
        <v>HASSAN HABEEB</v>
      </c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47">
        <f t="shared" si="2"/>
        <v>0</v>
      </c>
      <c r="AI11" s="47">
        <f t="shared" si="1"/>
        <v>0</v>
      </c>
      <c r="AJ11" s="47">
        <f t="shared" si="1"/>
        <v>0</v>
      </c>
      <c r="AK11" s="47">
        <f t="shared" si="1"/>
        <v>0</v>
      </c>
      <c r="AL11" s="47">
        <f t="shared" si="1"/>
        <v>0</v>
      </c>
      <c r="AM11" s="47">
        <f t="shared" si="1"/>
        <v>0</v>
      </c>
      <c r="AN11" s="47">
        <f t="shared" si="1"/>
        <v>0</v>
      </c>
      <c r="AO11" s="47">
        <f t="shared" si="1"/>
        <v>0</v>
      </c>
    </row>
    <row r="12" spans="1:41" ht="16.5" customHeight="1" x14ac:dyDescent="0.25">
      <c r="A12" s="39">
        <f>YearToDate!A15</f>
        <v>6</v>
      </c>
      <c r="B12" s="40" t="str">
        <f>VLOOKUP(A12,YearToDate!$A$9:$B$34,2,0)</f>
        <v>SHEHU NABILA</v>
      </c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47">
        <f t="shared" si="2"/>
        <v>0</v>
      </c>
      <c r="AI12" s="47">
        <f t="shared" si="1"/>
        <v>0</v>
      </c>
      <c r="AJ12" s="47">
        <f t="shared" si="1"/>
        <v>0</v>
      </c>
      <c r="AK12" s="47">
        <f t="shared" si="1"/>
        <v>0</v>
      </c>
      <c r="AL12" s="47">
        <f t="shared" si="1"/>
        <v>0</v>
      </c>
      <c r="AM12" s="47">
        <f t="shared" si="1"/>
        <v>0</v>
      </c>
      <c r="AN12" s="47">
        <f t="shared" si="1"/>
        <v>0</v>
      </c>
      <c r="AO12" s="47">
        <f t="shared" si="1"/>
        <v>0</v>
      </c>
    </row>
    <row r="13" spans="1:41" ht="16.5" customHeight="1" x14ac:dyDescent="0.25">
      <c r="A13" s="39">
        <f>YearToDate!A16</f>
        <v>7</v>
      </c>
      <c r="B13" s="40" t="str">
        <f>VLOOKUP(A13,YearToDate!$A$9:$B$34,2,0)</f>
        <v>SULEMAN IBRAHIM</v>
      </c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47">
        <f t="shared" si="2"/>
        <v>0</v>
      </c>
      <c r="AI13" s="47">
        <f t="shared" si="1"/>
        <v>0</v>
      </c>
      <c r="AJ13" s="47">
        <f t="shared" si="1"/>
        <v>0</v>
      </c>
      <c r="AK13" s="47">
        <f t="shared" si="1"/>
        <v>0</v>
      </c>
      <c r="AL13" s="47">
        <f t="shared" si="1"/>
        <v>0</v>
      </c>
      <c r="AM13" s="47">
        <f t="shared" si="1"/>
        <v>0</v>
      </c>
      <c r="AN13" s="47">
        <f t="shared" si="1"/>
        <v>0</v>
      </c>
      <c r="AO13" s="47">
        <f t="shared" si="1"/>
        <v>0</v>
      </c>
    </row>
    <row r="14" spans="1:41" ht="16.5" customHeight="1" x14ac:dyDescent="0.25">
      <c r="A14" s="39">
        <f>YearToDate!A17</f>
        <v>8</v>
      </c>
      <c r="B14" s="40" t="str">
        <f>VLOOKUP(A14,YearToDate!$A$9:$B$34,2,0)</f>
        <v>EMMANUELA LONGJAP</v>
      </c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47">
        <f t="shared" si="2"/>
        <v>0</v>
      </c>
      <c r="AI14" s="47">
        <f t="shared" si="1"/>
        <v>0</v>
      </c>
      <c r="AJ14" s="47">
        <f t="shared" si="1"/>
        <v>0</v>
      </c>
      <c r="AK14" s="47">
        <f t="shared" si="1"/>
        <v>0</v>
      </c>
      <c r="AL14" s="47">
        <f t="shared" si="1"/>
        <v>0</v>
      </c>
      <c r="AM14" s="47">
        <f t="shared" si="1"/>
        <v>0</v>
      </c>
      <c r="AN14" s="47">
        <f t="shared" si="1"/>
        <v>0</v>
      </c>
      <c r="AO14" s="47">
        <f t="shared" si="1"/>
        <v>0</v>
      </c>
    </row>
    <row r="15" spans="1:41" ht="16.5" customHeight="1" x14ac:dyDescent="0.25">
      <c r="A15" s="39">
        <f>YearToDate!A18</f>
        <v>9</v>
      </c>
      <c r="B15" s="40" t="str">
        <f>VLOOKUP(A15,YearToDate!$A$9:$B$34,2,0)</f>
        <v xml:space="preserve">OLUCHI EZE 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47">
        <f t="shared" si="2"/>
        <v>0</v>
      </c>
      <c r="AI15" s="47">
        <f t="shared" si="1"/>
        <v>0</v>
      </c>
      <c r="AJ15" s="47">
        <f t="shared" si="1"/>
        <v>0</v>
      </c>
      <c r="AK15" s="47">
        <f t="shared" si="1"/>
        <v>0</v>
      </c>
      <c r="AL15" s="47">
        <f t="shared" si="1"/>
        <v>0</v>
      </c>
      <c r="AM15" s="47">
        <f t="shared" si="1"/>
        <v>0</v>
      </c>
      <c r="AN15" s="47">
        <f t="shared" si="1"/>
        <v>0</v>
      </c>
      <c r="AO15" s="47">
        <f t="shared" si="1"/>
        <v>0</v>
      </c>
    </row>
    <row r="16" spans="1:41" ht="16.5" customHeight="1" x14ac:dyDescent="0.25">
      <c r="A16" s="39">
        <f>YearToDate!A19</f>
        <v>10</v>
      </c>
      <c r="B16" s="40" t="str">
        <f>VLOOKUP(A16,YearToDate!$A$9:$B$34,2,0)</f>
        <v>NURA ABDULLAHI</v>
      </c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47">
        <f t="shared" si="2"/>
        <v>0</v>
      </c>
      <c r="AI16" s="47">
        <f t="shared" si="1"/>
        <v>0</v>
      </c>
      <c r="AJ16" s="47">
        <f t="shared" si="1"/>
        <v>0</v>
      </c>
      <c r="AK16" s="47">
        <f t="shared" si="1"/>
        <v>0</v>
      </c>
      <c r="AL16" s="47">
        <f t="shared" si="1"/>
        <v>0</v>
      </c>
      <c r="AM16" s="47">
        <f t="shared" si="1"/>
        <v>0</v>
      </c>
      <c r="AN16" s="47">
        <f t="shared" si="1"/>
        <v>0</v>
      </c>
      <c r="AO16" s="47">
        <f t="shared" si="1"/>
        <v>0</v>
      </c>
    </row>
    <row r="17" spans="1:41" ht="16.5" customHeight="1" x14ac:dyDescent="0.25">
      <c r="A17" s="39">
        <f>YearToDate!A20</f>
        <v>11</v>
      </c>
      <c r="B17" s="40" t="str">
        <f>VLOOKUP(A17,YearToDate!$A$9:$B$34,2,0)</f>
        <v>VERA EGELAMBA EZINNE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47">
        <f t="shared" si="2"/>
        <v>0</v>
      </c>
      <c r="AI17" s="47">
        <f t="shared" si="2"/>
        <v>0</v>
      </c>
      <c r="AJ17" s="47">
        <f t="shared" si="2"/>
        <v>0</v>
      </c>
      <c r="AK17" s="47">
        <f t="shared" si="2"/>
        <v>0</v>
      </c>
      <c r="AL17" s="47">
        <f t="shared" si="2"/>
        <v>0</v>
      </c>
      <c r="AM17" s="47">
        <f t="shared" si="2"/>
        <v>0</v>
      </c>
      <c r="AN17" s="47">
        <f t="shared" si="2"/>
        <v>0</v>
      </c>
      <c r="AO17" s="47">
        <f t="shared" si="2"/>
        <v>0</v>
      </c>
    </row>
    <row r="18" spans="1:41" ht="16.5" customHeight="1" x14ac:dyDescent="0.25">
      <c r="A18" s="39">
        <f>YearToDate!A21</f>
        <v>18</v>
      </c>
      <c r="B18" s="40" t="str">
        <f>VLOOKUP(A18,YearToDate!$A$9:$B$34,2,0)</f>
        <v>NAIMA LABARAN DABO</v>
      </c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47">
        <f t="shared" si="2"/>
        <v>0</v>
      </c>
      <c r="AI18" s="47">
        <f t="shared" si="2"/>
        <v>0</v>
      </c>
      <c r="AJ18" s="47">
        <f t="shared" si="2"/>
        <v>0</v>
      </c>
      <c r="AK18" s="47">
        <f t="shared" si="2"/>
        <v>0</v>
      </c>
      <c r="AL18" s="47">
        <f t="shared" si="2"/>
        <v>0</v>
      </c>
      <c r="AM18" s="47">
        <f t="shared" si="2"/>
        <v>0</v>
      </c>
      <c r="AN18" s="47">
        <f t="shared" si="2"/>
        <v>0</v>
      </c>
      <c r="AO18" s="47">
        <f t="shared" si="2"/>
        <v>0</v>
      </c>
    </row>
    <row r="19" spans="1:41" ht="16.5" customHeight="1" x14ac:dyDescent="0.25">
      <c r="A19" s="39">
        <f>YearToDate!A22</f>
        <v>19</v>
      </c>
      <c r="B19" s="40">
        <f>VLOOKUP(A19,YearToDate!$A$9:$B$34,2,0)</f>
        <v>0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47">
        <f t="shared" si="2"/>
        <v>0</v>
      </c>
      <c r="AI19" s="47">
        <f t="shared" si="2"/>
        <v>0</v>
      </c>
      <c r="AJ19" s="47">
        <f t="shared" si="2"/>
        <v>0</v>
      </c>
      <c r="AK19" s="47">
        <f t="shared" si="2"/>
        <v>0</v>
      </c>
      <c r="AL19" s="47">
        <f t="shared" si="2"/>
        <v>0</v>
      </c>
      <c r="AM19" s="47">
        <f t="shared" si="2"/>
        <v>0</v>
      </c>
      <c r="AN19" s="47">
        <f t="shared" si="2"/>
        <v>0</v>
      </c>
      <c r="AO19" s="47">
        <f t="shared" si="2"/>
        <v>0</v>
      </c>
    </row>
    <row r="20" spans="1:41" ht="16.5" customHeight="1" x14ac:dyDescent="0.25">
      <c r="A20" s="39">
        <f>YearToDate!A23</f>
        <v>20</v>
      </c>
      <c r="B20" s="40">
        <f>VLOOKUP(A20,YearToDate!$A$9:$B$34,2,0)</f>
        <v>0</v>
      </c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47">
        <f t="shared" si="2"/>
        <v>0</v>
      </c>
      <c r="AI20" s="47">
        <f t="shared" si="2"/>
        <v>0</v>
      </c>
      <c r="AJ20" s="47">
        <f t="shared" si="2"/>
        <v>0</v>
      </c>
      <c r="AK20" s="47">
        <f t="shared" si="2"/>
        <v>0</v>
      </c>
      <c r="AL20" s="47">
        <f t="shared" si="2"/>
        <v>0</v>
      </c>
      <c r="AM20" s="47">
        <f t="shared" si="2"/>
        <v>0</v>
      </c>
      <c r="AN20" s="47">
        <f t="shared" si="2"/>
        <v>0</v>
      </c>
      <c r="AO20" s="47">
        <f t="shared" si="2"/>
        <v>0</v>
      </c>
    </row>
    <row r="21" spans="1:41" ht="16.5" customHeight="1" x14ac:dyDescent="0.25">
      <c r="A21" s="39">
        <f>YearToDate!A24</f>
        <v>21</v>
      </c>
      <c r="B21" s="40">
        <f>VLOOKUP(A21,YearToDate!$A$9:$B$34,2,0)</f>
        <v>0</v>
      </c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47">
        <f t="shared" si="2"/>
        <v>0</v>
      </c>
      <c r="AI21" s="47">
        <f t="shared" si="2"/>
        <v>0</v>
      </c>
      <c r="AJ21" s="47">
        <f t="shared" si="2"/>
        <v>0</v>
      </c>
      <c r="AK21" s="47">
        <f t="shared" si="2"/>
        <v>0</v>
      </c>
      <c r="AL21" s="47">
        <f t="shared" si="2"/>
        <v>0</v>
      </c>
      <c r="AM21" s="47">
        <f t="shared" si="2"/>
        <v>0</v>
      </c>
      <c r="AN21" s="47">
        <f t="shared" si="2"/>
        <v>0</v>
      </c>
      <c r="AO21" s="47">
        <f t="shared" si="2"/>
        <v>0</v>
      </c>
    </row>
    <row r="22" spans="1:41" ht="16.5" customHeight="1" x14ac:dyDescent="0.25">
      <c r="A22" s="39">
        <f>YearToDate!A25</f>
        <v>22</v>
      </c>
      <c r="B22" s="40">
        <f>VLOOKUP(A22,YearToDate!$A$9:$B$34,2,0)</f>
        <v>0</v>
      </c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47">
        <f t="shared" si="2"/>
        <v>0</v>
      </c>
      <c r="AI22" s="47">
        <f t="shared" si="2"/>
        <v>0</v>
      </c>
      <c r="AJ22" s="47">
        <f t="shared" si="2"/>
        <v>0</v>
      </c>
      <c r="AK22" s="47">
        <f t="shared" si="2"/>
        <v>0</v>
      </c>
      <c r="AL22" s="47">
        <f t="shared" si="2"/>
        <v>0</v>
      </c>
      <c r="AM22" s="47">
        <f t="shared" si="2"/>
        <v>0</v>
      </c>
      <c r="AN22" s="47">
        <f t="shared" si="2"/>
        <v>0</v>
      </c>
      <c r="AO22" s="47">
        <f t="shared" si="2"/>
        <v>0</v>
      </c>
    </row>
    <row r="23" spans="1:41" ht="16.5" customHeight="1" x14ac:dyDescent="0.25">
      <c r="A23" s="39">
        <f>YearToDate!A26</f>
        <v>23</v>
      </c>
      <c r="B23" s="40">
        <f>VLOOKUP(A23,YearToDate!$A$9:$B$34,2,0)</f>
        <v>0</v>
      </c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47">
        <f t="shared" si="2"/>
        <v>0</v>
      </c>
      <c r="AI23" s="47">
        <f t="shared" si="2"/>
        <v>0</v>
      </c>
      <c r="AJ23" s="47">
        <f t="shared" si="2"/>
        <v>0</v>
      </c>
      <c r="AK23" s="47">
        <f t="shared" si="2"/>
        <v>0</v>
      </c>
      <c r="AL23" s="47">
        <f t="shared" si="2"/>
        <v>0</v>
      </c>
      <c r="AM23" s="47">
        <f t="shared" si="2"/>
        <v>0</v>
      </c>
      <c r="AN23" s="47">
        <f t="shared" si="2"/>
        <v>0</v>
      </c>
      <c r="AO23" s="47">
        <f t="shared" si="2"/>
        <v>0</v>
      </c>
    </row>
    <row r="24" spans="1:41" ht="16.5" customHeight="1" x14ac:dyDescent="0.25">
      <c r="A24" s="39">
        <f>YearToDate!A27</f>
        <v>24</v>
      </c>
      <c r="B24" s="40">
        <f>VLOOKUP(A24,YearToDate!$A$9:$B$34,2,0)</f>
        <v>0</v>
      </c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47">
        <f t="shared" si="2"/>
        <v>0</v>
      </c>
      <c r="AI24" s="47">
        <f t="shared" si="2"/>
        <v>0</v>
      </c>
      <c r="AJ24" s="47">
        <f t="shared" si="2"/>
        <v>0</v>
      </c>
      <c r="AK24" s="47">
        <f t="shared" si="2"/>
        <v>0</v>
      </c>
      <c r="AL24" s="47">
        <f t="shared" si="2"/>
        <v>0</v>
      </c>
      <c r="AM24" s="47">
        <f t="shared" si="2"/>
        <v>0</v>
      </c>
      <c r="AN24" s="47">
        <f t="shared" si="2"/>
        <v>0</v>
      </c>
      <c r="AO24" s="47">
        <f t="shared" si="2"/>
        <v>0</v>
      </c>
    </row>
    <row r="25" spans="1:41" ht="16.5" customHeight="1" x14ac:dyDescent="0.25">
      <c r="A25" s="39">
        <f>YearToDate!A28</f>
        <v>25</v>
      </c>
      <c r="B25" s="40">
        <f>VLOOKUP(A25,YearToDate!$A$9:$B$34,2,0)</f>
        <v>0</v>
      </c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47">
        <f t="shared" si="2"/>
        <v>0</v>
      </c>
      <c r="AI25" s="47">
        <f t="shared" si="2"/>
        <v>0</v>
      </c>
      <c r="AJ25" s="47">
        <f t="shared" si="2"/>
        <v>0</v>
      </c>
      <c r="AK25" s="47">
        <f t="shared" si="2"/>
        <v>0</v>
      </c>
      <c r="AL25" s="47">
        <f t="shared" si="2"/>
        <v>0</v>
      </c>
      <c r="AM25" s="47">
        <f t="shared" si="2"/>
        <v>0</v>
      </c>
      <c r="AN25" s="47">
        <f t="shared" si="2"/>
        <v>0</v>
      </c>
      <c r="AO25" s="47">
        <f t="shared" si="2"/>
        <v>0</v>
      </c>
    </row>
    <row r="26" spans="1:41" ht="16.5" customHeight="1" x14ac:dyDescent="0.25">
      <c r="A26" s="39">
        <f>YearToDate!A29</f>
        <v>26</v>
      </c>
      <c r="B26" s="40">
        <f>VLOOKUP(A26,YearToDate!$A$9:$B$34,2,0)</f>
        <v>0</v>
      </c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47">
        <f t="shared" si="2"/>
        <v>0</v>
      </c>
      <c r="AI26" s="47">
        <f t="shared" si="2"/>
        <v>0</v>
      </c>
      <c r="AJ26" s="47">
        <f t="shared" si="2"/>
        <v>0</v>
      </c>
      <c r="AK26" s="47">
        <f t="shared" si="2"/>
        <v>0</v>
      </c>
      <c r="AL26" s="47">
        <f t="shared" si="2"/>
        <v>0</v>
      </c>
      <c r="AM26" s="47">
        <f t="shared" si="2"/>
        <v>0</v>
      </c>
      <c r="AN26" s="47">
        <f t="shared" si="2"/>
        <v>0</v>
      </c>
      <c r="AO26" s="47">
        <f t="shared" si="2"/>
        <v>0</v>
      </c>
    </row>
    <row r="27" spans="1:41" ht="16.5" customHeight="1" x14ac:dyDescent="0.25">
      <c r="A27" s="39">
        <f>YearToDate!A30</f>
        <v>27</v>
      </c>
      <c r="B27" s="40">
        <f>VLOOKUP(A27,YearToDate!$A$9:$B$34,2,0)</f>
        <v>0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47">
        <f t="shared" si="2"/>
        <v>0</v>
      </c>
      <c r="AI27" s="47">
        <f t="shared" si="2"/>
        <v>0</v>
      </c>
      <c r="AJ27" s="47">
        <f t="shared" si="2"/>
        <v>0</v>
      </c>
      <c r="AK27" s="47">
        <f t="shared" si="2"/>
        <v>0</v>
      </c>
      <c r="AL27" s="47">
        <f t="shared" si="2"/>
        <v>0</v>
      </c>
      <c r="AM27" s="47">
        <f t="shared" si="2"/>
        <v>0</v>
      </c>
      <c r="AN27" s="47">
        <f t="shared" si="2"/>
        <v>0</v>
      </c>
      <c r="AO27" s="47">
        <f t="shared" si="2"/>
        <v>0</v>
      </c>
    </row>
    <row r="28" spans="1:41" ht="16.5" customHeight="1" x14ac:dyDescent="0.25">
      <c r="A28" s="39">
        <f>YearToDate!A31</f>
        <v>28</v>
      </c>
      <c r="B28" s="40">
        <f>VLOOKUP(A28,YearToDate!$A$9:$B$34,2,0)</f>
        <v>0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47">
        <f t="shared" si="2"/>
        <v>0</v>
      </c>
      <c r="AI28" s="47">
        <f t="shared" si="2"/>
        <v>0</v>
      </c>
      <c r="AJ28" s="47">
        <f t="shared" si="2"/>
        <v>0</v>
      </c>
      <c r="AK28" s="47">
        <f t="shared" si="2"/>
        <v>0</v>
      </c>
      <c r="AL28" s="47">
        <f t="shared" si="2"/>
        <v>0</v>
      </c>
      <c r="AM28" s="47">
        <f t="shared" si="2"/>
        <v>0</v>
      </c>
      <c r="AN28" s="47">
        <f t="shared" si="2"/>
        <v>0</v>
      </c>
      <c r="AO28" s="47">
        <f t="shared" si="2"/>
        <v>0</v>
      </c>
    </row>
    <row r="29" spans="1:41" ht="16.5" customHeight="1" x14ac:dyDescent="0.25">
      <c r="A29" s="39">
        <f>YearToDate!A32</f>
        <v>29</v>
      </c>
      <c r="B29" s="40">
        <f>VLOOKUP(A29,YearToDate!$A$9:$B$34,2,0)</f>
        <v>0</v>
      </c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47">
        <f t="shared" si="2"/>
        <v>0</v>
      </c>
      <c r="AI29" s="47">
        <f t="shared" si="2"/>
        <v>0</v>
      </c>
      <c r="AJ29" s="47">
        <f t="shared" si="2"/>
        <v>0</v>
      </c>
      <c r="AK29" s="47">
        <f t="shared" si="2"/>
        <v>0</v>
      </c>
      <c r="AL29" s="47">
        <f t="shared" si="2"/>
        <v>0</v>
      </c>
      <c r="AM29" s="47">
        <f t="shared" si="2"/>
        <v>0</v>
      </c>
      <c r="AN29" s="47">
        <f t="shared" si="2"/>
        <v>0</v>
      </c>
      <c r="AO29" s="47">
        <f t="shared" si="2"/>
        <v>0</v>
      </c>
    </row>
    <row r="30" spans="1:41" s="28" customFormat="1" ht="16.5" customHeight="1" x14ac:dyDescent="0.25">
      <c r="A30" s="32"/>
      <c r="B30" s="33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48"/>
      <c r="AI30" s="48"/>
      <c r="AJ30" s="48"/>
      <c r="AK30" s="48"/>
      <c r="AL30" s="48"/>
      <c r="AM30" s="48"/>
      <c r="AN30" s="48"/>
      <c r="AO30" s="48"/>
    </row>
    <row r="31" spans="1:41" ht="16.5" customHeight="1" x14ac:dyDescent="0.25">
      <c r="A31" s="29" t="str">
        <f>HYPERLINK("https://www.vertex42.com/templates/employee-leave-tracker.html","https://www.vertex42.com/templates/employee-leave-tracker.html")</f>
        <v>https://www.vertex42.com/templates/employee-leave-tracker.html</v>
      </c>
      <c r="B31" s="35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AG31" s="37" t="s">
        <v>40</v>
      </c>
      <c r="AH31" s="49">
        <f>SUM(AH7:AH30)</f>
        <v>0</v>
      </c>
      <c r="AI31" s="49">
        <f>SUM(AI7:AI30)</f>
        <v>0</v>
      </c>
      <c r="AJ31" s="49">
        <f>SUM(AJ7:AJ30)</f>
        <v>0</v>
      </c>
      <c r="AK31" s="49">
        <f>SUM(AK7:AK30)</f>
        <v>0</v>
      </c>
      <c r="AL31" s="49">
        <f>SUM(AL7:AL30)</f>
        <v>0</v>
      </c>
      <c r="AM31" s="49">
        <f t="shared" ref="AM31:AN31" si="3">SUM(AM7:AM30)</f>
        <v>0</v>
      </c>
      <c r="AN31" s="49">
        <f t="shared" si="3"/>
        <v>0</v>
      </c>
      <c r="AO31" s="49">
        <f>SUM(AO7:AO30)</f>
        <v>0</v>
      </c>
    </row>
    <row r="32" spans="1:41" x14ac:dyDescent="0.25">
      <c r="A32" s="73"/>
      <c r="B32" s="73"/>
    </row>
  </sheetData>
  <mergeCells count="3">
    <mergeCell ref="A32:B32"/>
    <mergeCell ref="C4:AG4"/>
    <mergeCell ref="AH4:AO4"/>
  </mergeCells>
  <conditionalFormatting sqref="C6:AG6">
    <cfRule type="expression" dxfId="27" priority="2" stopIfTrue="1">
      <formula>OR(WEEKDAY(C$6,1)=1,WEEKDAY(C$6,1)=7)</formula>
    </cfRule>
    <cfRule type="cellIs" dxfId="26" priority="3" stopIfTrue="1" operator="equal">
      <formula>""</formula>
    </cfRule>
  </conditionalFormatting>
  <conditionalFormatting sqref="C7:AG29">
    <cfRule type="expression" dxfId="25" priority="4" stopIfTrue="1">
      <formula>OR(WEEKDAY(C$6)=1,WEEKDAY(C$6)=7)</formula>
    </cfRule>
    <cfRule type="expression" dxfId="24" priority="5" stopIfTrue="1">
      <formula>C$6=""</formula>
    </cfRule>
  </conditionalFormatting>
  <dataValidations count="1">
    <dataValidation type="list" allowBlank="1" sqref="C7:AG29">
      <formula1>$AH$6:$AO$6</formula1>
    </dataValidation>
  </dataValidations>
  <printOptions horizontalCentered="1"/>
  <pageMargins left="0.25" right="0.25" top="0.25" bottom="0.25" header="0.5" footer="0.5"/>
  <pageSetup scale="95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O32"/>
  <sheetViews>
    <sheetView showGridLines="0" workbookViewId="0">
      <selection activeCell="A7" sqref="A7"/>
    </sheetView>
  </sheetViews>
  <sheetFormatPr defaultColWidth="9.1796875" defaultRowHeight="12.5" x14ac:dyDescent="0.25"/>
  <cols>
    <col min="1" max="1" width="5.453125" style="18" customWidth="1"/>
    <col min="2" max="2" width="27.26953125" style="18" customWidth="1"/>
    <col min="3" max="33" width="3.26953125" style="18" customWidth="1"/>
    <col min="34" max="41" width="4.26953125" style="18" customWidth="1"/>
    <col min="42" max="16384" width="9.1796875" style="18"/>
  </cols>
  <sheetData>
    <row r="1" spans="1:41" ht="26.25" customHeight="1" x14ac:dyDescent="0.25">
      <c r="A1" s="17" t="str">
        <f>"October "&amp;YearToDate!$B$3</f>
        <v>October 2024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26" t="s">
        <v>0</v>
      </c>
    </row>
    <row r="2" spans="1:41" x14ac:dyDescent="0.25">
      <c r="AO2" s="27" t="s">
        <v>39</v>
      </c>
    </row>
    <row r="4" spans="1:41" ht="22" customHeight="1" x14ac:dyDescent="0.25">
      <c r="A4" s="60" t="s">
        <v>6</v>
      </c>
      <c r="B4" s="61"/>
      <c r="C4" s="74" t="str">
        <f>YearToDate!$A$5</f>
        <v>A = Annual,  S = Sick, M = Maternity, CM = Compationate, T = Terminal leave, ST = Study, E = Examination, CA = Casual</v>
      </c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1" t="s">
        <v>36</v>
      </c>
      <c r="AI4" s="71"/>
      <c r="AJ4" s="71"/>
      <c r="AK4" s="71"/>
      <c r="AL4" s="71"/>
      <c r="AM4" s="71"/>
      <c r="AN4" s="71"/>
      <c r="AO4" s="71"/>
    </row>
    <row r="5" spans="1:41" ht="16.5" customHeight="1" x14ac:dyDescent="0.25">
      <c r="A5" s="58"/>
      <c r="B5" s="59"/>
      <c r="C5" s="30" t="str">
        <f>IF(C6="","",INDEX({"Su";"M";"Tu";"W";"Th";"F";"Sa"},WEEKDAY(C6,1)))</f>
        <v>Tu</v>
      </c>
      <c r="D5" s="30" t="str">
        <f>IF(D6="","",INDEX({"Su";"M";"Tu";"W";"Th";"F";"Sa"},WEEKDAY(D6,1)))</f>
        <v>W</v>
      </c>
      <c r="E5" s="30" t="str">
        <f>IF(E6="","",INDEX({"Su";"M";"Tu";"W";"Th";"F";"Sa"},WEEKDAY(E6,1)))</f>
        <v>Th</v>
      </c>
      <c r="F5" s="30" t="str">
        <f>IF(F6="","",INDEX({"Su";"M";"Tu";"W";"Th";"F";"Sa"},WEEKDAY(F6,1)))</f>
        <v>F</v>
      </c>
      <c r="G5" s="30" t="str">
        <f>IF(G6="","",INDEX({"Su";"M";"Tu";"W";"Th";"F";"Sa"},WEEKDAY(G6,1)))</f>
        <v>Sa</v>
      </c>
      <c r="H5" s="30" t="str">
        <f>IF(H6="","",INDEX({"Su";"M";"Tu";"W";"Th";"F";"Sa"},WEEKDAY(H6,1)))</f>
        <v>Su</v>
      </c>
      <c r="I5" s="30" t="str">
        <f>IF(I6="","",INDEX({"Su";"M";"Tu";"W";"Th";"F";"Sa"},WEEKDAY(I6,1)))</f>
        <v>M</v>
      </c>
      <c r="J5" s="30" t="str">
        <f>IF(J6="","",INDEX({"Su";"M";"Tu";"W";"Th";"F";"Sa"},WEEKDAY(J6,1)))</f>
        <v>Tu</v>
      </c>
      <c r="K5" s="30" t="str">
        <f>IF(K6="","",INDEX({"Su";"M";"Tu";"W";"Th";"F";"Sa"},WEEKDAY(K6,1)))</f>
        <v>W</v>
      </c>
      <c r="L5" s="30" t="str">
        <f>IF(L6="","",INDEX({"Su";"M";"Tu";"W";"Th";"F";"Sa"},WEEKDAY(L6,1)))</f>
        <v>Th</v>
      </c>
      <c r="M5" s="30" t="str">
        <f>IF(M6="","",INDEX({"Su";"M";"Tu";"W";"Th";"F";"Sa"},WEEKDAY(M6,1)))</f>
        <v>F</v>
      </c>
      <c r="N5" s="30" t="str">
        <f>IF(N6="","",INDEX({"Su";"M";"Tu";"W";"Th";"F";"Sa"},WEEKDAY(N6,1)))</f>
        <v>Sa</v>
      </c>
      <c r="O5" s="30" t="str">
        <f>IF(O6="","",INDEX({"Su";"M";"Tu";"W";"Th";"F";"Sa"},WEEKDAY(O6,1)))</f>
        <v>Su</v>
      </c>
      <c r="P5" s="30" t="str">
        <f>IF(P6="","",INDEX({"Su";"M";"Tu";"W";"Th";"F";"Sa"},WEEKDAY(P6,1)))</f>
        <v>M</v>
      </c>
      <c r="Q5" s="30" t="str">
        <f>IF(Q6="","",INDEX({"Su";"M";"Tu";"W";"Th";"F";"Sa"},WEEKDAY(Q6,1)))</f>
        <v>Tu</v>
      </c>
      <c r="R5" s="30" t="str">
        <f>IF(R6="","",INDEX({"Su";"M";"Tu";"W";"Th";"F";"Sa"},WEEKDAY(R6,1)))</f>
        <v>W</v>
      </c>
      <c r="S5" s="30" t="str">
        <f>IF(S6="","",INDEX({"Su";"M";"Tu";"W";"Th";"F";"Sa"},WEEKDAY(S6,1)))</f>
        <v>Th</v>
      </c>
      <c r="T5" s="30" t="str">
        <f>IF(T6="","",INDEX({"Su";"M";"Tu";"W";"Th";"F";"Sa"},WEEKDAY(T6,1)))</f>
        <v>F</v>
      </c>
      <c r="U5" s="30" t="str">
        <f>IF(U6="","",INDEX({"Su";"M";"Tu";"W";"Th";"F";"Sa"},WEEKDAY(U6,1)))</f>
        <v>Sa</v>
      </c>
      <c r="V5" s="30" t="str">
        <f>IF(V6="","",INDEX({"Su";"M";"Tu";"W";"Th";"F";"Sa"},WEEKDAY(V6,1)))</f>
        <v>Su</v>
      </c>
      <c r="W5" s="30" t="str">
        <f>IF(W6="","",INDEX({"Su";"M";"Tu";"W";"Th";"F";"Sa"},WEEKDAY(W6,1)))</f>
        <v>M</v>
      </c>
      <c r="X5" s="30" t="str">
        <f>IF(X6="","",INDEX({"Su";"M";"Tu";"W";"Th";"F";"Sa"},WEEKDAY(X6,1)))</f>
        <v>Tu</v>
      </c>
      <c r="Y5" s="30" t="str">
        <f>IF(Y6="","",INDEX({"Su";"M";"Tu";"W";"Th";"F";"Sa"},WEEKDAY(Y6,1)))</f>
        <v>W</v>
      </c>
      <c r="Z5" s="30" t="str">
        <f>IF(Z6="","",INDEX({"Su";"M";"Tu";"W";"Th";"F";"Sa"},WEEKDAY(Z6,1)))</f>
        <v>Th</v>
      </c>
      <c r="AA5" s="30" t="str">
        <f>IF(AA6="","",INDEX({"Su";"M";"Tu";"W";"Th";"F";"Sa"},WEEKDAY(AA6,1)))</f>
        <v>F</v>
      </c>
      <c r="AB5" s="30" t="str">
        <f>IF(AB6="","",INDEX({"Su";"M";"Tu";"W";"Th";"F";"Sa"},WEEKDAY(AB6,1)))</f>
        <v>Sa</v>
      </c>
      <c r="AC5" s="30" t="str">
        <f>IF(AC6="","",INDEX({"Su";"M";"Tu";"W";"Th";"F";"Sa"},WEEKDAY(AC6,1)))</f>
        <v>Su</v>
      </c>
      <c r="AD5" s="30" t="str">
        <f>IF(AD6="","",INDEX({"Su";"M";"Tu";"W";"Th";"F";"Sa"},WEEKDAY(AD6,1)))</f>
        <v>M</v>
      </c>
      <c r="AE5" s="30" t="str">
        <f>IF(AE6="","",INDEX({"Su";"M";"Tu";"W";"Th";"F";"Sa"},WEEKDAY(AE6,1)))</f>
        <v>Tu</v>
      </c>
      <c r="AF5" s="30" t="str">
        <f>IF(AF6="","",INDEX({"Su";"M";"Tu";"W";"Th";"F";"Sa"},WEEKDAY(AF6,1)))</f>
        <v>W</v>
      </c>
      <c r="AG5" s="30" t="str">
        <f>IF(AG6="","",INDEX({"Su";"M";"Tu";"W";"Th";"F";"Sa"},WEEKDAY(AG6,1)))</f>
        <v>Th</v>
      </c>
      <c r="AH5" s="62"/>
      <c r="AI5" s="62"/>
      <c r="AJ5" s="62"/>
      <c r="AK5" s="62"/>
      <c r="AL5" s="62"/>
      <c r="AM5" s="62"/>
      <c r="AN5" s="62"/>
      <c r="AO5" s="62"/>
    </row>
    <row r="6" spans="1:41" ht="16.5" customHeight="1" x14ac:dyDescent="0.25">
      <c r="A6" s="45" t="s">
        <v>8</v>
      </c>
      <c r="B6" s="38" t="s">
        <v>9</v>
      </c>
      <c r="C6" s="43">
        <f>DATE(YearToDate!$B$3,10,1)</f>
        <v>45566</v>
      </c>
      <c r="D6" s="43">
        <f>C6+1</f>
        <v>45567</v>
      </c>
      <c r="E6" s="43">
        <f t="shared" ref="E6:AD6" si="0">D6+1</f>
        <v>45568</v>
      </c>
      <c r="F6" s="43">
        <f t="shared" si="0"/>
        <v>45569</v>
      </c>
      <c r="G6" s="43">
        <f>F6+1</f>
        <v>45570</v>
      </c>
      <c r="H6" s="43">
        <f t="shared" si="0"/>
        <v>45571</v>
      </c>
      <c r="I6" s="43">
        <f t="shared" si="0"/>
        <v>45572</v>
      </c>
      <c r="J6" s="43">
        <f t="shared" si="0"/>
        <v>45573</v>
      </c>
      <c r="K6" s="43">
        <f t="shared" si="0"/>
        <v>45574</v>
      </c>
      <c r="L6" s="43">
        <f t="shared" si="0"/>
        <v>45575</v>
      </c>
      <c r="M6" s="43">
        <f t="shared" si="0"/>
        <v>45576</v>
      </c>
      <c r="N6" s="43">
        <f t="shared" si="0"/>
        <v>45577</v>
      </c>
      <c r="O6" s="43">
        <f t="shared" si="0"/>
        <v>45578</v>
      </c>
      <c r="P6" s="43">
        <f t="shared" si="0"/>
        <v>45579</v>
      </c>
      <c r="Q6" s="43">
        <f t="shared" si="0"/>
        <v>45580</v>
      </c>
      <c r="R6" s="43">
        <f t="shared" si="0"/>
        <v>45581</v>
      </c>
      <c r="S6" s="43">
        <f t="shared" si="0"/>
        <v>45582</v>
      </c>
      <c r="T6" s="43">
        <f t="shared" si="0"/>
        <v>45583</v>
      </c>
      <c r="U6" s="43">
        <f t="shared" si="0"/>
        <v>45584</v>
      </c>
      <c r="V6" s="43">
        <f t="shared" si="0"/>
        <v>45585</v>
      </c>
      <c r="W6" s="43">
        <f t="shared" si="0"/>
        <v>45586</v>
      </c>
      <c r="X6" s="43">
        <f t="shared" si="0"/>
        <v>45587</v>
      </c>
      <c r="Y6" s="43">
        <f t="shared" si="0"/>
        <v>45588</v>
      </c>
      <c r="Z6" s="43">
        <f t="shared" si="0"/>
        <v>45589</v>
      </c>
      <c r="AA6" s="43">
        <f t="shared" si="0"/>
        <v>45590</v>
      </c>
      <c r="AB6" s="43">
        <f t="shared" si="0"/>
        <v>45591</v>
      </c>
      <c r="AC6" s="43">
        <f t="shared" si="0"/>
        <v>45592</v>
      </c>
      <c r="AD6" s="43">
        <f t="shared" si="0"/>
        <v>45593</v>
      </c>
      <c r="AE6" s="43">
        <f>IF(MONTH($AD6+1)&gt;MONTH($C$6),"",$AD6+1)</f>
        <v>45594</v>
      </c>
      <c r="AF6" s="43">
        <f>IF(MONTH($AD6+2)&gt;MONTH($C$6),"",$AD6+2)</f>
        <v>45595</v>
      </c>
      <c r="AG6" s="43">
        <f>IF(MONTH($AD6+3)&gt;MONTH($C$6),"",$AD6+3)</f>
        <v>45596</v>
      </c>
      <c r="AH6" s="31" t="str">
        <f>YearToDate!C9</f>
        <v>A</v>
      </c>
      <c r="AI6" s="31" t="str">
        <f>YearToDate!E9</f>
        <v>S</v>
      </c>
      <c r="AJ6" s="31" t="str">
        <f>YearToDate!G9</f>
        <v>M</v>
      </c>
      <c r="AK6" s="31" t="str">
        <f>YearToDate!I9</f>
        <v>CM</v>
      </c>
      <c r="AL6" s="31" t="str">
        <f>YearToDate!K9</f>
        <v>T</v>
      </c>
      <c r="AM6" s="31" t="str">
        <f>YearToDate!M9</f>
        <v>ST</v>
      </c>
      <c r="AN6" s="31" t="str">
        <f>YearToDate!O9</f>
        <v>E</v>
      </c>
      <c r="AO6" s="31" t="str">
        <f>YearToDate!Q9</f>
        <v>CA</v>
      </c>
    </row>
    <row r="7" spans="1:41" ht="16.5" customHeight="1" x14ac:dyDescent="0.25">
      <c r="A7" s="39">
        <f>YearToDate!A10</f>
        <v>1</v>
      </c>
      <c r="B7" s="40" t="str">
        <f>VLOOKUP(A7,YearToDate!$A$9:$B$34,2,0)</f>
        <v>AHMAN ABDULJABBAR</v>
      </c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47">
        <f>COUNTIF($C7:$AG7,AH$6)+0.5*COUNTIF($C7:$AG7,AH$6&amp;"H")+0.5*COUNTIF($C7:$AG7,"H"&amp;AH$6)</f>
        <v>0</v>
      </c>
      <c r="AI7" s="47">
        <f t="shared" ref="AI7:AO16" si="1">COUNTIF($C7:$AG7,AI$6)+0.5*COUNTIF($C7:$AG7,AI$6&amp;"H")+0.5*COUNTIF($C7:$AG7,"H"&amp;AI$6)</f>
        <v>0</v>
      </c>
      <c r="AJ7" s="47">
        <f t="shared" si="1"/>
        <v>0</v>
      </c>
      <c r="AK7" s="47">
        <f t="shared" si="1"/>
        <v>0</v>
      </c>
      <c r="AL7" s="47">
        <f t="shared" si="1"/>
        <v>0</v>
      </c>
      <c r="AM7" s="47">
        <f t="shared" si="1"/>
        <v>0</v>
      </c>
      <c r="AN7" s="47">
        <f t="shared" si="1"/>
        <v>0</v>
      </c>
      <c r="AO7" s="47">
        <f t="shared" si="1"/>
        <v>0</v>
      </c>
    </row>
    <row r="8" spans="1:41" ht="16.5" customHeight="1" x14ac:dyDescent="0.25">
      <c r="A8" s="39">
        <f>YearToDate!A11</f>
        <v>2</v>
      </c>
      <c r="B8" s="40" t="str">
        <f>VLOOKUP(A8,YearToDate!$A$9:$B$34,2,0)</f>
        <v>ALIYU MUSA ABUBAKAR</v>
      </c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47">
        <f t="shared" ref="AH8:AO29" si="2">COUNTIF($C8:$AG8,AH$6)+0.5*COUNTIF($C8:$AG8,AH$6&amp;"H")+0.5*COUNTIF($C8:$AG8,"H"&amp;AH$6)</f>
        <v>0</v>
      </c>
      <c r="AI8" s="47">
        <f t="shared" si="1"/>
        <v>0</v>
      </c>
      <c r="AJ8" s="47">
        <f t="shared" si="1"/>
        <v>0</v>
      </c>
      <c r="AK8" s="47">
        <f t="shared" si="1"/>
        <v>0</v>
      </c>
      <c r="AL8" s="47">
        <f t="shared" si="1"/>
        <v>0</v>
      </c>
      <c r="AM8" s="47">
        <f t="shared" si="1"/>
        <v>0</v>
      </c>
      <c r="AN8" s="47">
        <f t="shared" si="1"/>
        <v>0</v>
      </c>
      <c r="AO8" s="47">
        <f t="shared" si="1"/>
        <v>0</v>
      </c>
    </row>
    <row r="9" spans="1:41" ht="16.5" customHeight="1" x14ac:dyDescent="0.25">
      <c r="A9" s="39">
        <f>YearToDate!A12</f>
        <v>3</v>
      </c>
      <c r="B9" s="40" t="str">
        <f>VLOOKUP(A9,YearToDate!$A$9:$B$34,2,0)</f>
        <v>GOSTA ALIYU</v>
      </c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47">
        <f t="shared" si="2"/>
        <v>0</v>
      </c>
      <c r="AI9" s="47">
        <f t="shared" si="1"/>
        <v>0</v>
      </c>
      <c r="AJ9" s="47">
        <f t="shared" si="1"/>
        <v>0</v>
      </c>
      <c r="AK9" s="47">
        <f t="shared" si="1"/>
        <v>0</v>
      </c>
      <c r="AL9" s="47">
        <f t="shared" si="1"/>
        <v>0</v>
      </c>
      <c r="AM9" s="47">
        <f t="shared" si="1"/>
        <v>0</v>
      </c>
      <c r="AN9" s="47">
        <f t="shared" si="1"/>
        <v>0</v>
      </c>
      <c r="AO9" s="47">
        <f t="shared" si="1"/>
        <v>0</v>
      </c>
    </row>
    <row r="10" spans="1:41" ht="16.5" customHeight="1" x14ac:dyDescent="0.25">
      <c r="A10" s="39">
        <f>YearToDate!A13</f>
        <v>4</v>
      </c>
      <c r="B10" s="40" t="str">
        <f>VLOOKUP(A10,YearToDate!$A$9:$B$34,2,0)</f>
        <v>IBRAHIM TUKURA RILWAN</v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47">
        <f t="shared" si="2"/>
        <v>0</v>
      </c>
      <c r="AI10" s="47">
        <f t="shared" si="1"/>
        <v>0</v>
      </c>
      <c r="AJ10" s="47">
        <f t="shared" si="1"/>
        <v>0</v>
      </c>
      <c r="AK10" s="47">
        <f t="shared" si="1"/>
        <v>0</v>
      </c>
      <c r="AL10" s="47">
        <f t="shared" si="1"/>
        <v>0</v>
      </c>
      <c r="AM10" s="47">
        <f t="shared" si="1"/>
        <v>0</v>
      </c>
      <c r="AN10" s="47">
        <f t="shared" si="1"/>
        <v>0</v>
      </c>
      <c r="AO10" s="47">
        <f t="shared" si="1"/>
        <v>0</v>
      </c>
    </row>
    <row r="11" spans="1:41" ht="16.5" customHeight="1" x14ac:dyDescent="0.25">
      <c r="A11" s="39">
        <f>YearToDate!A14</f>
        <v>5</v>
      </c>
      <c r="B11" s="40" t="str">
        <f>VLOOKUP(A11,YearToDate!$A$9:$B$34,2,0)</f>
        <v>HASSAN HABEEB</v>
      </c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47">
        <f t="shared" si="2"/>
        <v>0</v>
      </c>
      <c r="AI11" s="47">
        <f t="shared" si="1"/>
        <v>0</v>
      </c>
      <c r="AJ11" s="47">
        <f t="shared" si="1"/>
        <v>0</v>
      </c>
      <c r="AK11" s="47">
        <f t="shared" si="1"/>
        <v>0</v>
      </c>
      <c r="AL11" s="47">
        <f t="shared" si="1"/>
        <v>0</v>
      </c>
      <c r="AM11" s="47">
        <f t="shared" si="1"/>
        <v>0</v>
      </c>
      <c r="AN11" s="47">
        <f t="shared" si="1"/>
        <v>0</v>
      </c>
      <c r="AO11" s="47">
        <f t="shared" si="1"/>
        <v>0</v>
      </c>
    </row>
    <row r="12" spans="1:41" ht="16.5" customHeight="1" x14ac:dyDescent="0.25">
      <c r="A12" s="39">
        <f>YearToDate!A15</f>
        <v>6</v>
      </c>
      <c r="B12" s="40" t="str">
        <f>VLOOKUP(A12,YearToDate!$A$9:$B$34,2,0)</f>
        <v>SHEHU NABILA</v>
      </c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47">
        <f t="shared" si="2"/>
        <v>0</v>
      </c>
      <c r="AI12" s="47">
        <f t="shared" si="1"/>
        <v>0</v>
      </c>
      <c r="AJ12" s="47">
        <f t="shared" si="1"/>
        <v>0</v>
      </c>
      <c r="AK12" s="47">
        <f t="shared" si="1"/>
        <v>0</v>
      </c>
      <c r="AL12" s="47">
        <f t="shared" si="1"/>
        <v>0</v>
      </c>
      <c r="AM12" s="47">
        <f t="shared" si="1"/>
        <v>0</v>
      </c>
      <c r="AN12" s="47">
        <f t="shared" si="1"/>
        <v>0</v>
      </c>
      <c r="AO12" s="47">
        <f t="shared" si="1"/>
        <v>0</v>
      </c>
    </row>
    <row r="13" spans="1:41" ht="16.5" customHeight="1" x14ac:dyDescent="0.25">
      <c r="A13" s="39">
        <f>YearToDate!A16</f>
        <v>7</v>
      </c>
      <c r="B13" s="40" t="str">
        <f>VLOOKUP(A13,YearToDate!$A$9:$B$34,2,0)</f>
        <v>SULEMAN IBRAHIM</v>
      </c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47">
        <f t="shared" si="2"/>
        <v>0</v>
      </c>
      <c r="AI13" s="47">
        <f t="shared" si="1"/>
        <v>0</v>
      </c>
      <c r="AJ13" s="47">
        <f t="shared" si="1"/>
        <v>0</v>
      </c>
      <c r="AK13" s="47">
        <f t="shared" si="1"/>
        <v>0</v>
      </c>
      <c r="AL13" s="47">
        <f t="shared" si="1"/>
        <v>0</v>
      </c>
      <c r="AM13" s="47">
        <f t="shared" si="1"/>
        <v>0</v>
      </c>
      <c r="AN13" s="47">
        <f t="shared" si="1"/>
        <v>0</v>
      </c>
      <c r="AO13" s="47">
        <f t="shared" si="1"/>
        <v>0</v>
      </c>
    </row>
    <row r="14" spans="1:41" ht="16.5" customHeight="1" x14ac:dyDescent="0.25">
      <c r="A14" s="39">
        <f>YearToDate!A17</f>
        <v>8</v>
      </c>
      <c r="B14" s="40" t="str">
        <f>VLOOKUP(A14,YearToDate!$A$9:$B$34,2,0)</f>
        <v>EMMANUELA LONGJAP</v>
      </c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47">
        <f t="shared" si="2"/>
        <v>0</v>
      </c>
      <c r="AI14" s="47">
        <f t="shared" si="1"/>
        <v>0</v>
      </c>
      <c r="AJ14" s="47">
        <f t="shared" si="1"/>
        <v>0</v>
      </c>
      <c r="AK14" s="47">
        <f t="shared" si="1"/>
        <v>0</v>
      </c>
      <c r="AL14" s="47">
        <f t="shared" si="1"/>
        <v>0</v>
      </c>
      <c r="AM14" s="47">
        <f t="shared" si="1"/>
        <v>0</v>
      </c>
      <c r="AN14" s="47">
        <f t="shared" si="1"/>
        <v>0</v>
      </c>
      <c r="AO14" s="47">
        <f t="shared" si="1"/>
        <v>0</v>
      </c>
    </row>
    <row r="15" spans="1:41" ht="16.5" customHeight="1" x14ac:dyDescent="0.25">
      <c r="A15" s="39">
        <f>YearToDate!A18</f>
        <v>9</v>
      </c>
      <c r="B15" s="40" t="str">
        <f>VLOOKUP(A15,YearToDate!$A$9:$B$34,2,0)</f>
        <v xml:space="preserve">OLUCHI EZE 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47">
        <f t="shared" si="2"/>
        <v>0</v>
      </c>
      <c r="AI15" s="47">
        <f t="shared" si="1"/>
        <v>0</v>
      </c>
      <c r="AJ15" s="47">
        <f t="shared" si="1"/>
        <v>0</v>
      </c>
      <c r="AK15" s="47">
        <f t="shared" si="1"/>
        <v>0</v>
      </c>
      <c r="AL15" s="47">
        <f t="shared" si="1"/>
        <v>0</v>
      </c>
      <c r="AM15" s="47">
        <f t="shared" si="1"/>
        <v>0</v>
      </c>
      <c r="AN15" s="47">
        <f t="shared" si="1"/>
        <v>0</v>
      </c>
      <c r="AO15" s="47">
        <f t="shared" si="1"/>
        <v>0</v>
      </c>
    </row>
    <row r="16" spans="1:41" ht="16.5" customHeight="1" x14ac:dyDescent="0.25">
      <c r="A16" s="39">
        <f>YearToDate!A19</f>
        <v>10</v>
      </c>
      <c r="B16" s="40" t="str">
        <f>VLOOKUP(A16,YearToDate!$A$9:$B$34,2,0)</f>
        <v>NURA ABDULLAHI</v>
      </c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47">
        <f t="shared" si="2"/>
        <v>0</v>
      </c>
      <c r="AI16" s="47">
        <f t="shared" si="1"/>
        <v>0</v>
      </c>
      <c r="AJ16" s="47">
        <f t="shared" si="1"/>
        <v>0</v>
      </c>
      <c r="AK16" s="47">
        <f t="shared" si="1"/>
        <v>0</v>
      </c>
      <c r="AL16" s="47">
        <f t="shared" si="1"/>
        <v>0</v>
      </c>
      <c r="AM16" s="47">
        <f t="shared" si="1"/>
        <v>0</v>
      </c>
      <c r="AN16" s="47">
        <f t="shared" si="1"/>
        <v>0</v>
      </c>
      <c r="AO16" s="47">
        <f t="shared" si="1"/>
        <v>0</v>
      </c>
    </row>
    <row r="17" spans="1:41" ht="16.5" customHeight="1" x14ac:dyDescent="0.25">
      <c r="A17" s="39">
        <f>YearToDate!A20</f>
        <v>11</v>
      </c>
      <c r="B17" s="40" t="str">
        <f>VLOOKUP(A17,YearToDate!$A$9:$B$34,2,0)</f>
        <v>VERA EGELAMBA EZINNE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47">
        <f t="shared" si="2"/>
        <v>0</v>
      </c>
      <c r="AI17" s="47">
        <f t="shared" si="2"/>
        <v>0</v>
      </c>
      <c r="AJ17" s="47">
        <f t="shared" si="2"/>
        <v>0</v>
      </c>
      <c r="AK17" s="47">
        <f t="shared" si="2"/>
        <v>0</v>
      </c>
      <c r="AL17" s="47">
        <f t="shared" si="2"/>
        <v>0</v>
      </c>
      <c r="AM17" s="47">
        <f t="shared" si="2"/>
        <v>0</v>
      </c>
      <c r="AN17" s="47">
        <f t="shared" si="2"/>
        <v>0</v>
      </c>
      <c r="AO17" s="47">
        <f t="shared" si="2"/>
        <v>0</v>
      </c>
    </row>
    <row r="18" spans="1:41" ht="16.5" customHeight="1" x14ac:dyDescent="0.25">
      <c r="A18" s="39">
        <f>YearToDate!A21</f>
        <v>18</v>
      </c>
      <c r="B18" s="40" t="str">
        <f>VLOOKUP(A18,YearToDate!$A$9:$B$34,2,0)</f>
        <v>NAIMA LABARAN DABO</v>
      </c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47">
        <f t="shared" si="2"/>
        <v>0</v>
      </c>
      <c r="AI18" s="47">
        <f t="shared" si="2"/>
        <v>0</v>
      </c>
      <c r="AJ18" s="47">
        <f t="shared" si="2"/>
        <v>0</v>
      </c>
      <c r="AK18" s="47">
        <f t="shared" si="2"/>
        <v>0</v>
      </c>
      <c r="AL18" s="47">
        <f t="shared" si="2"/>
        <v>0</v>
      </c>
      <c r="AM18" s="47">
        <f t="shared" si="2"/>
        <v>0</v>
      </c>
      <c r="AN18" s="47">
        <f t="shared" si="2"/>
        <v>0</v>
      </c>
      <c r="AO18" s="47">
        <f t="shared" si="2"/>
        <v>0</v>
      </c>
    </row>
    <row r="19" spans="1:41" ht="16.5" customHeight="1" x14ac:dyDescent="0.25">
      <c r="A19" s="39">
        <f>YearToDate!A22</f>
        <v>19</v>
      </c>
      <c r="B19" s="40">
        <f>VLOOKUP(A19,YearToDate!$A$9:$B$34,2,0)</f>
        <v>0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47">
        <f t="shared" si="2"/>
        <v>0</v>
      </c>
      <c r="AI19" s="47">
        <f t="shared" si="2"/>
        <v>0</v>
      </c>
      <c r="AJ19" s="47">
        <f t="shared" si="2"/>
        <v>0</v>
      </c>
      <c r="AK19" s="47">
        <f t="shared" si="2"/>
        <v>0</v>
      </c>
      <c r="AL19" s="47">
        <f t="shared" si="2"/>
        <v>0</v>
      </c>
      <c r="AM19" s="47">
        <f t="shared" si="2"/>
        <v>0</v>
      </c>
      <c r="AN19" s="47">
        <f t="shared" si="2"/>
        <v>0</v>
      </c>
      <c r="AO19" s="47">
        <f t="shared" si="2"/>
        <v>0</v>
      </c>
    </row>
    <row r="20" spans="1:41" ht="16.5" customHeight="1" x14ac:dyDescent="0.25">
      <c r="A20" s="39">
        <f>YearToDate!A23</f>
        <v>20</v>
      </c>
      <c r="B20" s="40">
        <f>VLOOKUP(A20,YearToDate!$A$9:$B$34,2,0)</f>
        <v>0</v>
      </c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47">
        <f t="shared" si="2"/>
        <v>0</v>
      </c>
      <c r="AI20" s="47">
        <f t="shared" si="2"/>
        <v>0</v>
      </c>
      <c r="AJ20" s="47">
        <f t="shared" si="2"/>
        <v>0</v>
      </c>
      <c r="AK20" s="47">
        <f t="shared" si="2"/>
        <v>0</v>
      </c>
      <c r="AL20" s="47">
        <f t="shared" si="2"/>
        <v>0</v>
      </c>
      <c r="AM20" s="47">
        <f t="shared" si="2"/>
        <v>0</v>
      </c>
      <c r="AN20" s="47">
        <f t="shared" si="2"/>
        <v>0</v>
      </c>
      <c r="AO20" s="47">
        <f t="shared" si="2"/>
        <v>0</v>
      </c>
    </row>
    <row r="21" spans="1:41" ht="16.5" customHeight="1" x14ac:dyDescent="0.25">
      <c r="A21" s="39">
        <f>YearToDate!A24</f>
        <v>21</v>
      </c>
      <c r="B21" s="40">
        <f>VLOOKUP(A21,YearToDate!$A$9:$B$34,2,0)</f>
        <v>0</v>
      </c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47">
        <f t="shared" si="2"/>
        <v>0</v>
      </c>
      <c r="AI21" s="47">
        <f t="shared" si="2"/>
        <v>0</v>
      </c>
      <c r="AJ21" s="47">
        <f t="shared" si="2"/>
        <v>0</v>
      </c>
      <c r="AK21" s="47">
        <f t="shared" si="2"/>
        <v>0</v>
      </c>
      <c r="AL21" s="47">
        <f t="shared" si="2"/>
        <v>0</v>
      </c>
      <c r="AM21" s="47">
        <f t="shared" si="2"/>
        <v>0</v>
      </c>
      <c r="AN21" s="47">
        <f t="shared" si="2"/>
        <v>0</v>
      </c>
      <c r="AO21" s="47">
        <f t="shared" si="2"/>
        <v>0</v>
      </c>
    </row>
    <row r="22" spans="1:41" ht="16.5" customHeight="1" x14ac:dyDescent="0.25">
      <c r="A22" s="39">
        <f>YearToDate!A25</f>
        <v>22</v>
      </c>
      <c r="B22" s="40">
        <f>VLOOKUP(A22,YearToDate!$A$9:$B$34,2,0)</f>
        <v>0</v>
      </c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47">
        <f t="shared" si="2"/>
        <v>0</v>
      </c>
      <c r="AI22" s="47">
        <f t="shared" si="2"/>
        <v>0</v>
      </c>
      <c r="AJ22" s="47">
        <f t="shared" si="2"/>
        <v>0</v>
      </c>
      <c r="AK22" s="47">
        <f t="shared" si="2"/>
        <v>0</v>
      </c>
      <c r="AL22" s="47">
        <f t="shared" si="2"/>
        <v>0</v>
      </c>
      <c r="AM22" s="47">
        <f t="shared" si="2"/>
        <v>0</v>
      </c>
      <c r="AN22" s="47">
        <f t="shared" si="2"/>
        <v>0</v>
      </c>
      <c r="AO22" s="47">
        <f t="shared" si="2"/>
        <v>0</v>
      </c>
    </row>
    <row r="23" spans="1:41" ht="16.5" customHeight="1" x14ac:dyDescent="0.25">
      <c r="A23" s="39">
        <f>YearToDate!A26</f>
        <v>23</v>
      </c>
      <c r="B23" s="40">
        <f>VLOOKUP(A23,YearToDate!$A$9:$B$34,2,0)</f>
        <v>0</v>
      </c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47">
        <f t="shared" si="2"/>
        <v>0</v>
      </c>
      <c r="AI23" s="47">
        <f t="shared" si="2"/>
        <v>0</v>
      </c>
      <c r="AJ23" s="47">
        <f t="shared" si="2"/>
        <v>0</v>
      </c>
      <c r="AK23" s="47">
        <f t="shared" si="2"/>
        <v>0</v>
      </c>
      <c r="AL23" s="47">
        <f t="shared" si="2"/>
        <v>0</v>
      </c>
      <c r="AM23" s="47">
        <f t="shared" si="2"/>
        <v>0</v>
      </c>
      <c r="AN23" s="47">
        <f t="shared" si="2"/>
        <v>0</v>
      </c>
      <c r="AO23" s="47">
        <f t="shared" si="2"/>
        <v>0</v>
      </c>
    </row>
    <row r="24" spans="1:41" ht="16.5" customHeight="1" x14ac:dyDescent="0.25">
      <c r="A24" s="39">
        <f>YearToDate!A27</f>
        <v>24</v>
      </c>
      <c r="B24" s="40">
        <f>VLOOKUP(A24,YearToDate!$A$9:$B$34,2,0)</f>
        <v>0</v>
      </c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47">
        <f t="shared" si="2"/>
        <v>0</v>
      </c>
      <c r="AI24" s="47">
        <f t="shared" si="2"/>
        <v>0</v>
      </c>
      <c r="AJ24" s="47">
        <f t="shared" si="2"/>
        <v>0</v>
      </c>
      <c r="AK24" s="47">
        <f t="shared" si="2"/>
        <v>0</v>
      </c>
      <c r="AL24" s="47">
        <f t="shared" si="2"/>
        <v>0</v>
      </c>
      <c r="AM24" s="47">
        <f t="shared" si="2"/>
        <v>0</v>
      </c>
      <c r="AN24" s="47">
        <f t="shared" si="2"/>
        <v>0</v>
      </c>
      <c r="AO24" s="47">
        <f t="shared" si="2"/>
        <v>0</v>
      </c>
    </row>
    <row r="25" spans="1:41" ht="16.5" customHeight="1" x14ac:dyDescent="0.25">
      <c r="A25" s="39">
        <f>YearToDate!A28</f>
        <v>25</v>
      </c>
      <c r="B25" s="40">
        <f>VLOOKUP(A25,YearToDate!$A$9:$B$34,2,0)</f>
        <v>0</v>
      </c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47">
        <f t="shared" si="2"/>
        <v>0</v>
      </c>
      <c r="AI25" s="47">
        <f t="shared" si="2"/>
        <v>0</v>
      </c>
      <c r="AJ25" s="47">
        <f t="shared" si="2"/>
        <v>0</v>
      </c>
      <c r="AK25" s="47">
        <f t="shared" si="2"/>
        <v>0</v>
      </c>
      <c r="AL25" s="47">
        <f t="shared" si="2"/>
        <v>0</v>
      </c>
      <c r="AM25" s="47">
        <f t="shared" si="2"/>
        <v>0</v>
      </c>
      <c r="AN25" s="47">
        <f t="shared" si="2"/>
        <v>0</v>
      </c>
      <c r="AO25" s="47">
        <f t="shared" si="2"/>
        <v>0</v>
      </c>
    </row>
    <row r="26" spans="1:41" ht="16.5" customHeight="1" x14ac:dyDescent="0.25">
      <c r="A26" s="39">
        <f>YearToDate!A29</f>
        <v>26</v>
      </c>
      <c r="B26" s="40">
        <f>VLOOKUP(A26,YearToDate!$A$9:$B$34,2,0)</f>
        <v>0</v>
      </c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47">
        <f t="shared" si="2"/>
        <v>0</v>
      </c>
      <c r="AI26" s="47">
        <f t="shared" si="2"/>
        <v>0</v>
      </c>
      <c r="AJ26" s="47">
        <f t="shared" si="2"/>
        <v>0</v>
      </c>
      <c r="AK26" s="47">
        <f t="shared" si="2"/>
        <v>0</v>
      </c>
      <c r="AL26" s="47">
        <f t="shared" si="2"/>
        <v>0</v>
      </c>
      <c r="AM26" s="47">
        <f t="shared" si="2"/>
        <v>0</v>
      </c>
      <c r="AN26" s="47">
        <f t="shared" si="2"/>
        <v>0</v>
      </c>
      <c r="AO26" s="47">
        <f t="shared" si="2"/>
        <v>0</v>
      </c>
    </row>
    <row r="27" spans="1:41" ht="16.5" customHeight="1" x14ac:dyDescent="0.25">
      <c r="A27" s="39">
        <f>YearToDate!A30</f>
        <v>27</v>
      </c>
      <c r="B27" s="40">
        <f>VLOOKUP(A27,YearToDate!$A$9:$B$34,2,0)</f>
        <v>0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47">
        <f t="shared" si="2"/>
        <v>0</v>
      </c>
      <c r="AI27" s="47">
        <f t="shared" si="2"/>
        <v>0</v>
      </c>
      <c r="AJ27" s="47">
        <f t="shared" si="2"/>
        <v>0</v>
      </c>
      <c r="AK27" s="47">
        <f t="shared" si="2"/>
        <v>0</v>
      </c>
      <c r="AL27" s="47">
        <f t="shared" si="2"/>
        <v>0</v>
      </c>
      <c r="AM27" s="47">
        <f t="shared" si="2"/>
        <v>0</v>
      </c>
      <c r="AN27" s="47">
        <f t="shared" si="2"/>
        <v>0</v>
      </c>
      <c r="AO27" s="47">
        <f t="shared" si="2"/>
        <v>0</v>
      </c>
    </row>
    <row r="28" spans="1:41" ht="16.5" customHeight="1" x14ac:dyDescent="0.25">
      <c r="A28" s="39">
        <f>YearToDate!A31</f>
        <v>28</v>
      </c>
      <c r="B28" s="40">
        <f>VLOOKUP(A28,YearToDate!$A$9:$B$34,2,0)</f>
        <v>0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47">
        <f t="shared" si="2"/>
        <v>0</v>
      </c>
      <c r="AI28" s="47">
        <f t="shared" si="2"/>
        <v>0</v>
      </c>
      <c r="AJ28" s="47">
        <f t="shared" si="2"/>
        <v>0</v>
      </c>
      <c r="AK28" s="47">
        <f t="shared" si="2"/>
        <v>0</v>
      </c>
      <c r="AL28" s="47">
        <f t="shared" si="2"/>
        <v>0</v>
      </c>
      <c r="AM28" s="47">
        <f t="shared" si="2"/>
        <v>0</v>
      </c>
      <c r="AN28" s="47">
        <f t="shared" si="2"/>
        <v>0</v>
      </c>
      <c r="AO28" s="47">
        <f t="shared" si="2"/>
        <v>0</v>
      </c>
    </row>
    <row r="29" spans="1:41" ht="16.5" customHeight="1" x14ac:dyDescent="0.25">
      <c r="A29" s="39">
        <v>30</v>
      </c>
      <c r="B29" s="40">
        <f>VLOOKUP(A29,YearToDate!$A$9:$B$34,2,0)</f>
        <v>0</v>
      </c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47">
        <f t="shared" si="2"/>
        <v>0</v>
      </c>
      <c r="AI29" s="47">
        <f t="shared" si="2"/>
        <v>0</v>
      </c>
      <c r="AJ29" s="47">
        <f t="shared" si="2"/>
        <v>0</v>
      </c>
      <c r="AK29" s="47">
        <f t="shared" si="2"/>
        <v>0</v>
      </c>
      <c r="AL29" s="47">
        <f t="shared" si="2"/>
        <v>0</v>
      </c>
      <c r="AM29" s="47">
        <f t="shared" si="2"/>
        <v>0</v>
      </c>
      <c r="AN29" s="47">
        <f t="shared" si="2"/>
        <v>0</v>
      </c>
      <c r="AO29" s="47">
        <f t="shared" si="2"/>
        <v>0</v>
      </c>
    </row>
    <row r="30" spans="1:41" s="28" customFormat="1" ht="16.5" customHeight="1" x14ac:dyDescent="0.25">
      <c r="A30" s="32"/>
      <c r="B30" s="33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48"/>
      <c r="AI30" s="48"/>
      <c r="AJ30" s="48"/>
      <c r="AK30" s="48"/>
      <c r="AL30" s="48"/>
      <c r="AM30" s="48"/>
      <c r="AN30" s="48"/>
      <c r="AO30" s="48"/>
    </row>
    <row r="31" spans="1:41" ht="16.5" customHeight="1" x14ac:dyDescent="0.25">
      <c r="A31" s="29" t="str">
        <f>HYPERLINK("https://www.vertex42.com/templates/employee-leave-tracker.html","https://www.vertex42.com/templates/employee-leave-tracker.html")</f>
        <v>https://www.vertex42.com/templates/employee-leave-tracker.html</v>
      </c>
      <c r="B31" s="35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AG31" s="37" t="s">
        <v>40</v>
      </c>
      <c r="AH31" s="49">
        <f>SUM(AH7:AH30)</f>
        <v>0</v>
      </c>
      <c r="AI31" s="49">
        <f>SUM(AI7:AI30)</f>
        <v>0</v>
      </c>
      <c r="AJ31" s="49">
        <f>SUM(AJ7:AJ30)</f>
        <v>0</v>
      </c>
      <c r="AK31" s="49">
        <f>SUM(AK7:AK30)</f>
        <v>0</v>
      </c>
      <c r="AL31" s="49">
        <f>SUM(AL7:AL30)</f>
        <v>0</v>
      </c>
      <c r="AM31" s="49">
        <f t="shared" ref="AM31:AN31" si="3">SUM(AM7:AM30)</f>
        <v>0</v>
      </c>
      <c r="AN31" s="49">
        <f t="shared" si="3"/>
        <v>0</v>
      </c>
      <c r="AO31" s="49">
        <f>SUM(AO7:AO30)</f>
        <v>0</v>
      </c>
    </row>
    <row r="32" spans="1:41" x14ac:dyDescent="0.25">
      <c r="A32" s="73"/>
      <c r="B32" s="73"/>
    </row>
  </sheetData>
  <mergeCells count="3">
    <mergeCell ref="A32:B32"/>
    <mergeCell ref="C4:AG4"/>
    <mergeCell ref="AH4:AO4"/>
  </mergeCells>
  <conditionalFormatting sqref="C6:AG6">
    <cfRule type="expression" dxfId="23" priority="2" stopIfTrue="1">
      <formula>OR(WEEKDAY(C$6,1)=1,WEEKDAY(C$6,1)=7)</formula>
    </cfRule>
    <cfRule type="cellIs" dxfId="22" priority="3" stopIfTrue="1" operator="equal">
      <formula>""</formula>
    </cfRule>
  </conditionalFormatting>
  <conditionalFormatting sqref="C7:AG29">
    <cfRule type="expression" dxfId="21" priority="4" stopIfTrue="1">
      <formula>OR(WEEKDAY(C$6)=1,WEEKDAY(C$6)=7)</formula>
    </cfRule>
    <cfRule type="expression" dxfId="20" priority="5" stopIfTrue="1">
      <formula>C$6=""</formula>
    </cfRule>
  </conditionalFormatting>
  <dataValidations count="1">
    <dataValidation type="list" allowBlank="1" sqref="C7:AG29">
      <formula1>$AH$6:$AO$6</formula1>
    </dataValidation>
  </dataValidations>
  <printOptions horizontalCentered="1"/>
  <pageMargins left="0.25" right="0.25" top="0.25" bottom="0.25" header="0.5" footer="0.5"/>
  <pageSetup scale="95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O32"/>
  <sheetViews>
    <sheetView showGridLines="0" workbookViewId="0">
      <selection activeCell="Y31" sqref="Y31"/>
    </sheetView>
  </sheetViews>
  <sheetFormatPr defaultColWidth="9.1796875" defaultRowHeight="12.5" x14ac:dyDescent="0.25"/>
  <cols>
    <col min="1" max="1" width="5.453125" style="18" customWidth="1"/>
    <col min="2" max="2" width="27.7265625" style="18" customWidth="1"/>
    <col min="3" max="33" width="3.26953125" style="18" customWidth="1"/>
    <col min="34" max="41" width="4.26953125" style="18" customWidth="1"/>
    <col min="42" max="16384" width="9.1796875" style="18"/>
  </cols>
  <sheetData>
    <row r="1" spans="1:41" ht="26.25" customHeight="1" x14ac:dyDescent="0.25">
      <c r="A1" s="17" t="str">
        <f>"November "&amp;YearToDate!$B$3</f>
        <v>November 2024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26" t="s">
        <v>0</v>
      </c>
    </row>
    <row r="2" spans="1:41" x14ac:dyDescent="0.25">
      <c r="AO2" s="27" t="s">
        <v>39</v>
      </c>
    </row>
    <row r="4" spans="1:41" ht="22" customHeight="1" x14ac:dyDescent="0.25">
      <c r="A4" s="60" t="s">
        <v>6</v>
      </c>
      <c r="B4" s="61"/>
      <c r="C4" s="74" t="str">
        <f>YearToDate!$A$5</f>
        <v>A = Annual,  S = Sick, M = Maternity, CM = Compationate, T = Terminal leave, ST = Study, E = Examination, CA = Casual</v>
      </c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1" t="s">
        <v>36</v>
      </c>
      <c r="AI4" s="71"/>
      <c r="AJ4" s="71"/>
      <c r="AK4" s="71"/>
      <c r="AL4" s="71"/>
      <c r="AM4" s="71"/>
      <c r="AN4" s="71"/>
      <c r="AO4" s="71"/>
    </row>
    <row r="5" spans="1:41" ht="16.5" customHeight="1" x14ac:dyDescent="0.25">
      <c r="A5" s="58"/>
      <c r="B5" s="59"/>
      <c r="C5" s="30" t="str">
        <f>IF(C6="","",INDEX({"Su";"M";"Tu";"W";"Th";"F";"Sa"},WEEKDAY(C6,1)))</f>
        <v>F</v>
      </c>
      <c r="D5" s="30" t="str">
        <f>IF(D6="","",INDEX({"Su";"M";"Tu";"W";"Th";"F";"Sa"},WEEKDAY(D6,1)))</f>
        <v>Sa</v>
      </c>
      <c r="E5" s="30" t="str">
        <f>IF(E6="","",INDEX({"Su";"M";"Tu";"W";"Th";"F";"Sa"},WEEKDAY(E6,1)))</f>
        <v>Su</v>
      </c>
      <c r="F5" s="30" t="str">
        <f>IF(F6="","",INDEX({"Su";"M";"Tu";"W";"Th";"F";"Sa"},WEEKDAY(F6,1)))</f>
        <v>M</v>
      </c>
      <c r="G5" s="30" t="str">
        <f>IF(G6="","",INDEX({"Su";"M";"Tu";"W";"Th";"F";"Sa"},WEEKDAY(G6,1)))</f>
        <v>Tu</v>
      </c>
      <c r="H5" s="30" t="str">
        <f>IF(H6="","",INDEX({"Su";"M";"Tu";"W";"Th";"F";"Sa"},WEEKDAY(H6,1)))</f>
        <v>W</v>
      </c>
      <c r="I5" s="30" t="str">
        <f>IF(I6="","",INDEX({"Su";"M";"Tu";"W";"Th";"F";"Sa"},WEEKDAY(I6,1)))</f>
        <v>Th</v>
      </c>
      <c r="J5" s="30" t="str">
        <f>IF(J6="","",INDEX({"Su";"M";"Tu";"W";"Th";"F";"Sa"},WEEKDAY(J6,1)))</f>
        <v>F</v>
      </c>
      <c r="K5" s="30" t="str">
        <f>IF(K6="","",INDEX({"Su";"M";"Tu";"W";"Th";"F";"Sa"},WEEKDAY(K6,1)))</f>
        <v>Sa</v>
      </c>
      <c r="L5" s="30" t="str">
        <f>IF(L6="","",INDEX({"Su";"M";"Tu";"W";"Th";"F";"Sa"},WEEKDAY(L6,1)))</f>
        <v>Su</v>
      </c>
      <c r="M5" s="30" t="str">
        <f>IF(M6="","",INDEX({"Su";"M";"Tu";"W";"Th";"F";"Sa"},WEEKDAY(M6,1)))</f>
        <v>M</v>
      </c>
      <c r="N5" s="30" t="str">
        <f>IF(N6="","",INDEX({"Su";"M";"Tu";"W";"Th";"F";"Sa"},WEEKDAY(N6,1)))</f>
        <v>Tu</v>
      </c>
      <c r="O5" s="30" t="str">
        <f>IF(O6="","",INDEX({"Su";"M";"Tu";"W";"Th";"F";"Sa"},WEEKDAY(O6,1)))</f>
        <v>W</v>
      </c>
      <c r="P5" s="30" t="str">
        <f>IF(P6="","",INDEX({"Su";"M";"Tu";"W";"Th";"F";"Sa"},WEEKDAY(P6,1)))</f>
        <v>Th</v>
      </c>
      <c r="Q5" s="30" t="str">
        <f>IF(Q6="","",INDEX({"Su";"M";"Tu";"W";"Th";"F";"Sa"},WEEKDAY(Q6,1)))</f>
        <v>F</v>
      </c>
      <c r="R5" s="30" t="str">
        <f>IF(R6="","",INDEX({"Su";"M";"Tu";"W";"Th";"F";"Sa"},WEEKDAY(R6,1)))</f>
        <v>Sa</v>
      </c>
      <c r="S5" s="30" t="str">
        <f>IF(S6="","",INDEX({"Su";"M";"Tu";"W";"Th";"F";"Sa"},WEEKDAY(S6,1)))</f>
        <v>Su</v>
      </c>
      <c r="T5" s="30" t="str">
        <f>IF(T6="","",INDEX({"Su";"M";"Tu";"W";"Th";"F";"Sa"},WEEKDAY(T6,1)))</f>
        <v>M</v>
      </c>
      <c r="U5" s="30" t="str">
        <f>IF(U6="","",INDEX({"Su";"M";"Tu";"W";"Th";"F";"Sa"},WEEKDAY(U6,1)))</f>
        <v>Tu</v>
      </c>
      <c r="V5" s="30" t="str">
        <f>IF(V6="","",INDEX({"Su";"M";"Tu";"W";"Th";"F";"Sa"},WEEKDAY(V6,1)))</f>
        <v>W</v>
      </c>
      <c r="W5" s="30" t="str">
        <f>IF(W6="","",INDEX({"Su";"M";"Tu";"W";"Th";"F";"Sa"},WEEKDAY(W6,1)))</f>
        <v>Th</v>
      </c>
      <c r="X5" s="30" t="str">
        <f>IF(X6="","",INDEX({"Su";"M";"Tu";"W";"Th";"F";"Sa"},WEEKDAY(X6,1)))</f>
        <v>F</v>
      </c>
      <c r="Y5" s="30" t="str">
        <f>IF(Y6="","",INDEX({"Su";"M";"Tu";"W";"Th";"F";"Sa"},WEEKDAY(Y6,1)))</f>
        <v>Sa</v>
      </c>
      <c r="Z5" s="30" t="str">
        <f>IF(Z6="","",INDEX({"Su";"M";"Tu";"W";"Th";"F";"Sa"},WEEKDAY(Z6,1)))</f>
        <v>Su</v>
      </c>
      <c r="AA5" s="30" t="str">
        <f>IF(AA6="","",INDEX({"Su";"M";"Tu";"W";"Th";"F";"Sa"},WEEKDAY(AA6,1)))</f>
        <v>M</v>
      </c>
      <c r="AB5" s="30" t="str">
        <f>IF(AB6="","",INDEX({"Su";"M";"Tu";"W";"Th";"F";"Sa"},WEEKDAY(AB6,1)))</f>
        <v>Tu</v>
      </c>
      <c r="AC5" s="30" t="str">
        <f>IF(AC6="","",INDEX({"Su";"M";"Tu";"W";"Th";"F";"Sa"},WEEKDAY(AC6,1)))</f>
        <v>W</v>
      </c>
      <c r="AD5" s="30" t="str">
        <f>IF(AD6="","",INDEX({"Su";"M";"Tu";"W";"Th";"F";"Sa"},WEEKDAY(AD6,1)))</f>
        <v>Th</v>
      </c>
      <c r="AE5" s="30" t="str">
        <f>IF(AE6="","",INDEX({"Su";"M";"Tu";"W";"Th";"F";"Sa"},WEEKDAY(AE6,1)))</f>
        <v>F</v>
      </c>
      <c r="AF5" s="30" t="str">
        <f>IF(AF6="","",INDEX({"Su";"M";"Tu";"W";"Th";"F";"Sa"},WEEKDAY(AF6,1)))</f>
        <v>Sa</v>
      </c>
      <c r="AG5" s="30" t="str">
        <f>IF(AG6="","",INDEX({"Su";"M";"Tu";"W";"Th";"F";"Sa"},WEEKDAY(AG6,1)))</f>
        <v/>
      </c>
      <c r="AH5" s="62"/>
      <c r="AI5" s="62"/>
      <c r="AJ5" s="62"/>
      <c r="AK5" s="62"/>
      <c r="AL5" s="62"/>
      <c r="AM5" s="62"/>
      <c r="AN5" s="62"/>
      <c r="AO5" s="62"/>
    </row>
    <row r="6" spans="1:41" ht="16.5" customHeight="1" x14ac:dyDescent="0.25">
      <c r="A6" s="45" t="s">
        <v>8</v>
      </c>
      <c r="B6" s="38" t="s">
        <v>9</v>
      </c>
      <c r="C6" s="43">
        <f>DATE(YearToDate!$B$3,11,1)</f>
        <v>45597</v>
      </c>
      <c r="D6" s="43">
        <f>C6+1</f>
        <v>45598</v>
      </c>
      <c r="E6" s="43">
        <f t="shared" ref="E6:AD6" si="0">D6+1</f>
        <v>45599</v>
      </c>
      <c r="F6" s="43">
        <f t="shared" si="0"/>
        <v>45600</v>
      </c>
      <c r="G6" s="43">
        <f>F6+1</f>
        <v>45601</v>
      </c>
      <c r="H6" s="43">
        <f t="shared" si="0"/>
        <v>45602</v>
      </c>
      <c r="I6" s="43">
        <f t="shared" si="0"/>
        <v>45603</v>
      </c>
      <c r="J6" s="43">
        <f t="shared" si="0"/>
        <v>45604</v>
      </c>
      <c r="K6" s="43">
        <f t="shared" si="0"/>
        <v>45605</v>
      </c>
      <c r="L6" s="43">
        <f t="shared" si="0"/>
        <v>45606</v>
      </c>
      <c r="M6" s="43">
        <f t="shared" si="0"/>
        <v>45607</v>
      </c>
      <c r="N6" s="43">
        <f t="shared" si="0"/>
        <v>45608</v>
      </c>
      <c r="O6" s="43">
        <f t="shared" si="0"/>
        <v>45609</v>
      </c>
      <c r="P6" s="43">
        <f t="shared" si="0"/>
        <v>45610</v>
      </c>
      <c r="Q6" s="43">
        <f t="shared" si="0"/>
        <v>45611</v>
      </c>
      <c r="R6" s="43">
        <f t="shared" si="0"/>
        <v>45612</v>
      </c>
      <c r="S6" s="43">
        <f t="shared" si="0"/>
        <v>45613</v>
      </c>
      <c r="T6" s="43">
        <f t="shared" si="0"/>
        <v>45614</v>
      </c>
      <c r="U6" s="43">
        <f t="shared" si="0"/>
        <v>45615</v>
      </c>
      <c r="V6" s="43">
        <f t="shared" si="0"/>
        <v>45616</v>
      </c>
      <c r="W6" s="43">
        <f t="shared" si="0"/>
        <v>45617</v>
      </c>
      <c r="X6" s="43">
        <f t="shared" si="0"/>
        <v>45618</v>
      </c>
      <c r="Y6" s="43">
        <f t="shared" si="0"/>
        <v>45619</v>
      </c>
      <c r="Z6" s="43">
        <f t="shared" si="0"/>
        <v>45620</v>
      </c>
      <c r="AA6" s="43">
        <f t="shared" si="0"/>
        <v>45621</v>
      </c>
      <c r="AB6" s="43">
        <f t="shared" si="0"/>
        <v>45622</v>
      </c>
      <c r="AC6" s="43">
        <f t="shared" si="0"/>
        <v>45623</v>
      </c>
      <c r="AD6" s="43">
        <f t="shared" si="0"/>
        <v>45624</v>
      </c>
      <c r="AE6" s="43">
        <f>IF(MONTH($AD6+1)&gt;MONTH($C$6),"",$AD6+1)</f>
        <v>45625</v>
      </c>
      <c r="AF6" s="43">
        <f>IF(MONTH($AD6+2)&gt;MONTH($C$6),"",$AD6+2)</f>
        <v>45626</v>
      </c>
      <c r="AG6" s="43" t="str">
        <f>IF(MONTH($AD6+3)&gt;MONTH($C$6),"",$AD6+3)</f>
        <v/>
      </c>
      <c r="AH6" s="31" t="str">
        <f>YearToDate!C9</f>
        <v>A</v>
      </c>
      <c r="AI6" s="31" t="str">
        <f>YearToDate!E9</f>
        <v>S</v>
      </c>
      <c r="AJ6" s="31" t="str">
        <f>YearToDate!G9</f>
        <v>M</v>
      </c>
      <c r="AK6" s="31" t="str">
        <f>YearToDate!I9</f>
        <v>CM</v>
      </c>
      <c r="AL6" s="31" t="str">
        <f>YearToDate!K9</f>
        <v>T</v>
      </c>
      <c r="AM6" s="31" t="str">
        <f>YearToDate!M9</f>
        <v>ST</v>
      </c>
      <c r="AN6" s="31" t="str">
        <f>YearToDate!O9</f>
        <v>E</v>
      </c>
      <c r="AO6" s="31" t="str">
        <f>YearToDate!Q9</f>
        <v>CA</v>
      </c>
    </row>
    <row r="7" spans="1:41" ht="16.5" customHeight="1" x14ac:dyDescent="0.25">
      <c r="A7" s="39">
        <f>YearToDate!A10</f>
        <v>1</v>
      </c>
      <c r="B7" s="40" t="str">
        <f>VLOOKUP(A7,YearToDate!$A$9:$B$34,2,0)</f>
        <v>AHMAN ABDULJABBAR</v>
      </c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47">
        <f>COUNTIF($C7:$AG7,AH$6)+0.5*COUNTIF($C7:$AG7,AH$6&amp;"H")+0.5*COUNTIF($C7:$AG7,"H"&amp;AH$6)</f>
        <v>0</v>
      </c>
      <c r="AI7" s="47">
        <f t="shared" ref="AI7:AO16" si="1">COUNTIF($C7:$AG7,AI$6)+0.5*COUNTIF($C7:$AG7,AI$6&amp;"H")+0.5*COUNTIF($C7:$AG7,"H"&amp;AI$6)</f>
        <v>0</v>
      </c>
      <c r="AJ7" s="47">
        <f t="shared" si="1"/>
        <v>0</v>
      </c>
      <c r="AK7" s="47">
        <f t="shared" si="1"/>
        <v>0</v>
      </c>
      <c r="AL7" s="47">
        <f t="shared" si="1"/>
        <v>0</v>
      </c>
      <c r="AM7" s="47">
        <f t="shared" si="1"/>
        <v>0</v>
      </c>
      <c r="AN7" s="47">
        <f t="shared" si="1"/>
        <v>0</v>
      </c>
      <c r="AO7" s="47">
        <f t="shared" si="1"/>
        <v>0</v>
      </c>
    </row>
    <row r="8" spans="1:41" ht="16.5" customHeight="1" x14ac:dyDescent="0.25">
      <c r="A8" s="39">
        <f>YearToDate!A11</f>
        <v>2</v>
      </c>
      <c r="B8" s="40" t="str">
        <f>VLOOKUP(A8,YearToDate!$A$9:$B$34,2,0)</f>
        <v>ALIYU MUSA ABUBAKAR</v>
      </c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47">
        <f t="shared" ref="AH8:AO29" si="2">COUNTIF($C8:$AG8,AH$6)+0.5*COUNTIF($C8:$AG8,AH$6&amp;"H")+0.5*COUNTIF($C8:$AG8,"H"&amp;AH$6)</f>
        <v>0</v>
      </c>
      <c r="AI8" s="47">
        <f t="shared" si="1"/>
        <v>0</v>
      </c>
      <c r="AJ8" s="47">
        <f t="shared" si="1"/>
        <v>0</v>
      </c>
      <c r="AK8" s="47">
        <f t="shared" si="1"/>
        <v>0</v>
      </c>
      <c r="AL8" s="47">
        <f t="shared" si="1"/>
        <v>0</v>
      </c>
      <c r="AM8" s="47">
        <f t="shared" si="1"/>
        <v>0</v>
      </c>
      <c r="AN8" s="47">
        <f t="shared" si="1"/>
        <v>0</v>
      </c>
      <c r="AO8" s="47">
        <f t="shared" si="1"/>
        <v>0</v>
      </c>
    </row>
    <row r="9" spans="1:41" ht="16.5" customHeight="1" x14ac:dyDescent="0.25">
      <c r="A9" s="39">
        <f>YearToDate!A12</f>
        <v>3</v>
      </c>
      <c r="B9" s="40" t="str">
        <f>VLOOKUP(A9,YearToDate!$A$9:$B$34,2,0)</f>
        <v>GOSTA ALIYU</v>
      </c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47">
        <f t="shared" si="2"/>
        <v>0</v>
      </c>
      <c r="AI9" s="47">
        <f t="shared" si="1"/>
        <v>0</v>
      </c>
      <c r="AJ9" s="47">
        <f t="shared" si="1"/>
        <v>0</v>
      </c>
      <c r="AK9" s="47">
        <f t="shared" si="1"/>
        <v>0</v>
      </c>
      <c r="AL9" s="47">
        <f t="shared" si="1"/>
        <v>0</v>
      </c>
      <c r="AM9" s="47">
        <f t="shared" si="1"/>
        <v>0</v>
      </c>
      <c r="AN9" s="47">
        <f t="shared" si="1"/>
        <v>0</v>
      </c>
      <c r="AO9" s="47">
        <f t="shared" si="1"/>
        <v>0</v>
      </c>
    </row>
    <row r="10" spans="1:41" ht="16.5" customHeight="1" x14ac:dyDescent="0.25">
      <c r="A10" s="39">
        <f>YearToDate!A13</f>
        <v>4</v>
      </c>
      <c r="B10" s="40" t="str">
        <f>VLOOKUP(A10,YearToDate!$A$9:$B$34,2,0)</f>
        <v>IBRAHIM TUKURA RILWAN</v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47">
        <f t="shared" si="2"/>
        <v>0</v>
      </c>
      <c r="AI10" s="47">
        <f t="shared" si="1"/>
        <v>0</v>
      </c>
      <c r="AJ10" s="47">
        <f t="shared" si="1"/>
        <v>0</v>
      </c>
      <c r="AK10" s="47">
        <f t="shared" si="1"/>
        <v>0</v>
      </c>
      <c r="AL10" s="47">
        <f t="shared" si="1"/>
        <v>0</v>
      </c>
      <c r="AM10" s="47">
        <f t="shared" si="1"/>
        <v>0</v>
      </c>
      <c r="AN10" s="47">
        <f t="shared" si="1"/>
        <v>0</v>
      </c>
      <c r="AO10" s="47">
        <f t="shared" si="1"/>
        <v>0</v>
      </c>
    </row>
    <row r="11" spans="1:41" ht="16.5" customHeight="1" x14ac:dyDescent="0.25">
      <c r="A11" s="39">
        <f>YearToDate!A14</f>
        <v>5</v>
      </c>
      <c r="B11" s="40" t="str">
        <f>VLOOKUP(A11,YearToDate!$A$9:$B$34,2,0)</f>
        <v>HASSAN HABEEB</v>
      </c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47">
        <f t="shared" si="2"/>
        <v>0</v>
      </c>
      <c r="AI11" s="47">
        <f t="shared" si="1"/>
        <v>0</v>
      </c>
      <c r="AJ11" s="47">
        <f t="shared" si="1"/>
        <v>0</v>
      </c>
      <c r="AK11" s="47">
        <f t="shared" si="1"/>
        <v>0</v>
      </c>
      <c r="AL11" s="47">
        <f t="shared" si="1"/>
        <v>0</v>
      </c>
      <c r="AM11" s="47">
        <f t="shared" si="1"/>
        <v>0</v>
      </c>
      <c r="AN11" s="47">
        <f t="shared" si="1"/>
        <v>0</v>
      </c>
      <c r="AO11" s="47">
        <f t="shared" si="1"/>
        <v>0</v>
      </c>
    </row>
    <row r="12" spans="1:41" ht="16.5" customHeight="1" x14ac:dyDescent="0.25">
      <c r="A12" s="39">
        <f>YearToDate!A15</f>
        <v>6</v>
      </c>
      <c r="B12" s="40" t="str">
        <f>VLOOKUP(A12,YearToDate!$A$9:$B$34,2,0)</f>
        <v>SHEHU NABILA</v>
      </c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47">
        <f t="shared" si="2"/>
        <v>0</v>
      </c>
      <c r="AI12" s="47">
        <f t="shared" si="1"/>
        <v>0</v>
      </c>
      <c r="AJ12" s="47">
        <f t="shared" si="1"/>
        <v>0</v>
      </c>
      <c r="AK12" s="47">
        <f t="shared" si="1"/>
        <v>0</v>
      </c>
      <c r="AL12" s="47">
        <f t="shared" si="1"/>
        <v>0</v>
      </c>
      <c r="AM12" s="47">
        <f t="shared" si="1"/>
        <v>0</v>
      </c>
      <c r="AN12" s="47">
        <f t="shared" si="1"/>
        <v>0</v>
      </c>
      <c r="AO12" s="47">
        <f t="shared" si="1"/>
        <v>0</v>
      </c>
    </row>
    <row r="13" spans="1:41" ht="16.5" customHeight="1" x14ac:dyDescent="0.25">
      <c r="A13" s="39">
        <f>YearToDate!A16</f>
        <v>7</v>
      </c>
      <c r="B13" s="40" t="str">
        <f>VLOOKUP(A13,YearToDate!$A$9:$B$34,2,0)</f>
        <v>SULEMAN IBRAHIM</v>
      </c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47">
        <f t="shared" si="2"/>
        <v>0</v>
      </c>
      <c r="AI13" s="47">
        <f t="shared" si="1"/>
        <v>0</v>
      </c>
      <c r="AJ13" s="47">
        <f t="shared" si="1"/>
        <v>0</v>
      </c>
      <c r="AK13" s="47">
        <f t="shared" si="1"/>
        <v>0</v>
      </c>
      <c r="AL13" s="47">
        <f t="shared" si="1"/>
        <v>0</v>
      </c>
      <c r="AM13" s="47">
        <f t="shared" si="1"/>
        <v>0</v>
      </c>
      <c r="AN13" s="47">
        <f t="shared" si="1"/>
        <v>0</v>
      </c>
      <c r="AO13" s="47">
        <f t="shared" si="1"/>
        <v>0</v>
      </c>
    </row>
    <row r="14" spans="1:41" ht="16.5" customHeight="1" x14ac:dyDescent="0.25">
      <c r="A14" s="39">
        <f>YearToDate!A17</f>
        <v>8</v>
      </c>
      <c r="B14" s="40" t="str">
        <f>VLOOKUP(A14,YearToDate!$A$9:$B$34,2,0)</f>
        <v>EMMANUELA LONGJAP</v>
      </c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47">
        <f t="shared" si="2"/>
        <v>0</v>
      </c>
      <c r="AI14" s="47">
        <f t="shared" si="1"/>
        <v>0</v>
      </c>
      <c r="AJ14" s="47">
        <f t="shared" si="1"/>
        <v>0</v>
      </c>
      <c r="AK14" s="47">
        <f t="shared" si="1"/>
        <v>0</v>
      </c>
      <c r="AL14" s="47">
        <f t="shared" si="1"/>
        <v>0</v>
      </c>
      <c r="AM14" s="47">
        <f t="shared" si="1"/>
        <v>0</v>
      </c>
      <c r="AN14" s="47">
        <f t="shared" si="1"/>
        <v>0</v>
      </c>
      <c r="AO14" s="47">
        <f t="shared" si="1"/>
        <v>0</v>
      </c>
    </row>
    <row r="15" spans="1:41" ht="16.5" customHeight="1" x14ac:dyDescent="0.25">
      <c r="A15" s="39">
        <f>YearToDate!A18</f>
        <v>9</v>
      </c>
      <c r="B15" s="40" t="str">
        <f>VLOOKUP(A15,YearToDate!$A$9:$B$34,2,0)</f>
        <v xml:space="preserve">OLUCHI EZE 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47">
        <f t="shared" si="2"/>
        <v>0</v>
      </c>
      <c r="AI15" s="47">
        <f t="shared" si="1"/>
        <v>0</v>
      </c>
      <c r="AJ15" s="47">
        <f t="shared" si="1"/>
        <v>0</v>
      </c>
      <c r="AK15" s="47">
        <f t="shared" si="1"/>
        <v>0</v>
      </c>
      <c r="AL15" s="47">
        <f t="shared" si="1"/>
        <v>0</v>
      </c>
      <c r="AM15" s="47">
        <f t="shared" si="1"/>
        <v>0</v>
      </c>
      <c r="AN15" s="47">
        <f t="shared" si="1"/>
        <v>0</v>
      </c>
      <c r="AO15" s="47">
        <f t="shared" si="1"/>
        <v>0</v>
      </c>
    </row>
    <row r="16" spans="1:41" ht="16.5" customHeight="1" x14ac:dyDescent="0.25">
      <c r="A16" s="39">
        <f>YearToDate!A19</f>
        <v>10</v>
      </c>
      <c r="B16" s="40" t="str">
        <f>VLOOKUP(A16,YearToDate!$A$9:$B$34,2,0)</f>
        <v>NURA ABDULLAHI</v>
      </c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47">
        <f t="shared" si="2"/>
        <v>0</v>
      </c>
      <c r="AI16" s="47">
        <f t="shared" si="1"/>
        <v>0</v>
      </c>
      <c r="AJ16" s="47">
        <f t="shared" si="1"/>
        <v>0</v>
      </c>
      <c r="AK16" s="47">
        <f t="shared" si="1"/>
        <v>0</v>
      </c>
      <c r="AL16" s="47">
        <f t="shared" si="1"/>
        <v>0</v>
      </c>
      <c r="AM16" s="47">
        <f t="shared" si="1"/>
        <v>0</v>
      </c>
      <c r="AN16" s="47">
        <f t="shared" si="1"/>
        <v>0</v>
      </c>
      <c r="AO16" s="47">
        <f t="shared" si="1"/>
        <v>0</v>
      </c>
    </row>
    <row r="17" spans="1:41" ht="16.5" customHeight="1" x14ac:dyDescent="0.25">
      <c r="A17" s="39">
        <f>YearToDate!A20</f>
        <v>11</v>
      </c>
      <c r="B17" s="40" t="str">
        <f>VLOOKUP(A17,YearToDate!$A$9:$B$34,2,0)</f>
        <v>VERA EGELAMBA EZINNE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47">
        <f t="shared" si="2"/>
        <v>0</v>
      </c>
      <c r="AI17" s="47">
        <f t="shared" si="2"/>
        <v>0</v>
      </c>
      <c r="AJ17" s="47">
        <f t="shared" si="2"/>
        <v>0</v>
      </c>
      <c r="AK17" s="47">
        <f t="shared" si="2"/>
        <v>0</v>
      </c>
      <c r="AL17" s="47">
        <f t="shared" si="2"/>
        <v>0</v>
      </c>
      <c r="AM17" s="47">
        <f t="shared" si="2"/>
        <v>0</v>
      </c>
      <c r="AN17" s="47">
        <f t="shared" si="2"/>
        <v>0</v>
      </c>
      <c r="AO17" s="47">
        <f t="shared" si="2"/>
        <v>0</v>
      </c>
    </row>
    <row r="18" spans="1:41" ht="16.5" customHeight="1" x14ac:dyDescent="0.25">
      <c r="A18" s="39">
        <f>YearToDate!A21</f>
        <v>18</v>
      </c>
      <c r="B18" s="40" t="str">
        <f>VLOOKUP(A18,YearToDate!$A$9:$B$34,2,0)</f>
        <v>NAIMA LABARAN DABO</v>
      </c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47">
        <f t="shared" si="2"/>
        <v>0</v>
      </c>
      <c r="AI18" s="47">
        <f t="shared" si="2"/>
        <v>0</v>
      </c>
      <c r="AJ18" s="47">
        <f t="shared" si="2"/>
        <v>0</v>
      </c>
      <c r="AK18" s="47">
        <f t="shared" si="2"/>
        <v>0</v>
      </c>
      <c r="AL18" s="47">
        <f t="shared" si="2"/>
        <v>0</v>
      </c>
      <c r="AM18" s="47">
        <f t="shared" si="2"/>
        <v>0</v>
      </c>
      <c r="AN18" s="47">
        <f t="shared" si="2"/>
        <v>0</v>
      </c>
      <c r="AO18" s="47">
        <f t="shared" si="2"/>
        <v>0</v>
      </c>
    </row>
    <row r="19" spans="1:41" ht="16.5" customHeight="1" x14ac:dyDescent="0.25">
      <c r="A19" s="39">
        <f>YearToDate!A22</f>
        <v>19</v>
      </c>
      <c r="B19" s="40">
        <f>VLOOKUP(A19,YearToDate!$A$9:$B$34,2,0)</f>
        <v>0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47">
        <f t="shared" si="2"/>
        <v>0</v>
      </c>
      <c r="AI19" s="47">
        <f t="shared" si="2"/>
        <v>0</v>
      </c>
      <c r="AJ19" s="47">
        <f t="shared" si="2"/>
        <v>0</v>
      </c>
      <c r="AK19" s="47">
        <f t="shared" si="2"/>
        <v>0</v>
      </c>
      <c r="AL19" s="47">
        <f t="shared" si="2"/>
        <v>0</v>
      </c>
      <c r="AM19" s="47">
        <f t="shared" si="2"/>
        <v>0</v>
      </c>
      <c r="AN19" s="47">
        <f t="shared" si="2"/>
        <v>0</v>
      </c>
      <c r="AO19" s="47">
        <f t="shared" si="2"/>
        <v>0</v>
      </c>
    </row>
    <row r="20" spans="1:41" ht="16.5" customHeight="1" x14ac:dyDescent="0.25">
      <c r="A20" s="39">
        <f>YearToDate!A23</f>
        <v>20</v>
      </c>
      <c r="B20" s="40">
        <f>VLOOKUP(A20,YearToDate!$A$9:$B$34,2,0)</f>
        <v>0</v>
      </c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47">
        <f t="shared" si="2"/>
        <v>0</v>
      </c>
      <c r="AI20" s="47">
        <f t="shared" si="2"/>
        <v>0</v>
      </c>
      <c r="AJ20" s="47">
        <f t="shared" si="2"/>
        <v>0</v>
      </c>
      <c r="AK20" s="47">
        <f t="shared" si="2"/>
        <v>0</v>
      </c>
      <c r="AL20" s="47">
        <f t="shared" si="2"/>
        <v>0</v>
      </c>
      <c r="AM20" s="47">
        <f t="shared" si="2"/>
        <v>0</v>
      </c>
      <c r="AN20" s="47">
        <f t="shared" si="2"/>
        <v>0</v>
      </c>
      <c r="AO20" s="47">
        <f t="shared" si="2"/>
        <v>0</v>
      </c>
    </row>
    <row r="21" spans="1:41" ht="16.5" customHeight="1" x14ac:dyDescent="0.25">
      <c r="A21" s="39">
        <f>YearToDate!A24</f>
        <v>21</v>
      </c>
      <c r="B21" s="40">
        <f>VLOOKUP(A21,YearToDate!$A$9:$B$34,2,0)</f>
        <v>0</v>
      </c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47">
        <f t="shared" si="2"/>
        <v>0</v>
      </c>
      <c r="AI21" s="47">
        <f t="shared" si="2"/>
        <v>0</v>
      </c>
      <c r="AJ21" s="47">
        <f t="shared" si="2"/>
        <v>0</v>
      </c>
      <c r="AK21" s="47">
        <f t="shared" si="2"/>
        <v>0</v>
      </c>
      <c r="AL21" s="47">
        <f t="shared" si="2"/>
        <v>0</v>
      </c>
      <c r="AM21" s="47">
        <f t="shared" si="2"/>
        <v>0</v>
      </c>
      <c r="AN21" s="47">
        <f t="shared" si="2"/>
        <v>0</v>
      </c>
      <c r="AO21" s="47">
        <f t="shared" si="2"/>
        <v>0</v>
      </c>
    </row>
    <row r="22" spans="1:41" ht="16.5" customHeight="1" x14ac:dyDescent="0.25">
      <c r="A22" s="39">
        <f>YearToDate!A25</f>
        <v>22</v>
      </c>
      <c r="B22" s="40">
        <f>VLOOKUP(A22,YearToDate!$A$9:$B$34,2,0)</f>
        <v>0</v>
      </c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47">
        <f t="shared" si="2"/>
        <v>0</v>
      </c>
      <c r="AI22" s="47">
        <f t="shared" si="2"/>
        <v>0</v>
      </c>
      <c r="AJ22" s="47">
        <f t="shared" si="2"/>
        <v>0</v>
      </c>
      <c r="AK22" s="47">
        <f t="shared" si="2"/>
        <v>0</v>
      </c>
      <c r="AL22" s="47">
        <f t="shared" si="2"/>
        <v>0</v>
      </c>
      <c r="AM22" s="47">
        <f t="shared" si="2"/>
        <v>0</v>
      </c>
      <c r="AN22" s="47">
        <f t="shared" si="2"/>
        <v>0</v>
      </c>
      <c r="AO22" s="47">
        <f t="shared" si="2"/>
        <v>0</v>
      </c>
    </row>
    <row r="23" spans="1:41" ht="16.5" customHeight="1" x14ac:dyDescent="0.25">
      <c r="A23" s="39">
        <f>YearToDate!A26</f>
        <v>23</v>
      </c>
      <c r="B23" s="40">
        <f>VLOOKUP(A23,YearToDate!$A$9:$B$34,2,0)</f>
        <v>0</v>
      </c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47">
        <f t="shared" si="2"/>
        <v>0</v>
      </c>
      <c r="AI23" s="47">
        <f t="shared" si="2"/>
        <v>0</v>
      </c>
      <c r="AJ23" s="47">
        <f t="shared" si="2"/>
        <v>0</v>
      </c>
      <c r="AK23" s="47">
        <f t="shared" si="2"/>
        <v>0</v>
      </c>
      <c r="AL23" s="47">
        <f t="shared" si="2"/>
        <v>0</v>
      </c>
      <c r="AM23" s="47">
        <f t="shared" si="2"/>
        <v>0</v>
      </c>
      <c r="AN23" s="47">
        <f t="shared" si="2"/>
        <v>0</v>
      </c>
      <c r="AO23" s="47">
        <f t="shared" si="2"/>
        <v>0</v>
      </c>
    </row>
    <row r="24" spans="1:41" ht="16.5" customHeight="1" x14ac:dyDescent="0.25">
      <c r="A24" s="39">
        <f>YearToDate!A27</f>
        <v>24</v>
      </c>
      <c r="B24" s="40">
        <f>VLOOKUP(A24,YearToDate!$A$9:$B$34,2,0)</f>
        <v>0</v>
      </c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47">
        <f t="shared" si="2"/>
        <v>0</v>
      </c>
      <c r="AI24" s="47">
        <f t="shared" si="2"/>
        <v>0</v>
      </c>
      <c r="AJ24" s="47">
        <f t="shared" si="2"/>
        <v>0</v>
      </c>
      <c r="AK24" s="47">
        <f t="shared" si="2"/>
        <v>0</v>
      </c>
      <c r="AL24" s="47">
        <f t="shared" si="2"/>
        <v>0</v>
      </c>
      <c r="AM24" s="47">
        <f t="shared" si="2"/>
        <v>0</v>
      </c>
      <c r="AN24" s="47">
        <f t="shared" si="2"/>
        <v>0</v>
      </c>
      <c r="AO24" s="47">
        <f t="shared" si="2"/>
        <v>0</v>
      </c>
    </row>
    <row r="25" spans="1:41" ht="16.5" customHeight="1" x14ac:dyDescent="0.25">
      <c r="A25" s="39">
        <f>YearToDate!A28</f>
        <v>25</v>
      </c>
      <c r="B25" s="40">
        <f>VLOOKUP(A25,YearToDate!$A$9:$B$34,2,0)</f>
        <v>0</v>
      </c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47">
        <f t="shared" si="2"/>
        <v>0</v>
      </c>
      <c r="AI25" s="47">
        <f t="shared" si="2"/>
        <v>0</v>
      </c>
      <c r="AJ25" s="47">
        <f t="shared" si="2"/>
        <v>0</v>
      </c>
      <c r="AK25" s="47">
        <f t="shared" si="2"/>
        <v>0</v>
      </c>
      <c r="AL25" s="47">
        <f t="shared" si="2"/>
        <v>0</v>
      </c>
      <c r="AM25" s="47">
        <f t="shared" si="2"/>
        <v>0</v>
      </c>
      <c r="AN25" s="47">
        <f t="shared" si="2"/>
        <v>0</v>
      </c>
      <c r="AO25" s="47">
        <f t="shared" si="2"/>
        <v>0</v>
      </c>
    </row>
    <row r="26" spans="1:41" ht="16.5" customHeight="1" x14ac:dyDescent="0.25">
      <c r="A26" s="39">
        <f>YearToDate!A29</f>
        <v>26</v>
      </c>
      <c r="B26" s="40">
        <f>VLOOKUP(A26,YearToDate!$A$9:$B$34,2,0)</f>
        <v>0</v>
      </c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47">
        <f t="shared" si="2"/>
        <v>0</v>
      </c>
      <c r="AI26" s="47">
        <f t="shared" si="2"/>
        <v>0</v>
      </c>
      <c r="AJ26" s="47">
        <f t="shared" si="2"/>
        <v>0</v>
      </c>
      <c r="AK26" s="47">
        <f t="shared" si="2"/>
        <v>0</v>
      </c>
      <c r="AL26" s="47">
        <f t="shared" si="2"/>
        <v>0</v>
      </c>
      <c r="AM26" s="47">
        <f t="shared" si="2"/>
        <v>0</v>
      </c>
      <c r="AN26" s="47">
        <f t="shared" si="2"/>
        <v>0</v>
      </c>
      <c r="AO26" s="47">
        <f t="shared" si="2"/>
        <v>0</v>
      </c>
    </row>
    <row r="27" spans="1:41" ht="16.5" customHeight="1" x14ac:dyDescent="0.25">
      <c r="A27" s="39">
        <f>YearToDate!A30</f>
        <v>27</v>
      </c>
      <c r="B27" s="40">
        <f>VLOOKUP(A27,YearToDate!$A$9:$B$34,2,0)</f>
        <v>0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47">
        <f t="shared" si="2"/>
        <v>0</v>
      </c>
      <c r="AI27" s="47">
        <f t="shared" si="2"/>
        <v>0</v>
      </c>
      <c r="AJ27" s="47">
        <f t="shared" si="2"/>
        <v>0</v>
      </c>
      <c r="AK27" s="47">
        <f t="shared" si="2"/>
        <v>0</v>
      </c>
      <c r="AL27" s="47">
        <f t="shared" si="2"/>
        <v>0</v>
      </c>
      <c r="AM27" s="47">
        <f t="shared" si="2"/>
        <v>0</v>
      </c>
      <c r="AN27" s="47">
        <f t="shared" si="2"/>
        <v>0</v>
      </c>
      <c r="AO27" s="47">
        <f t="shared" si="2"/>
        <v>0</v>
      </c>
    </row>
    <row r="28" spans="1:41" ht="16.5" customHeight="1" x14ac:dyDescent="0.25">
      <c r="A28" s="39">
        <f>YearToDate!A31</f>
        <v>28</v>
      </c>
      <c r="B28" s="40">
        <f>VLOOKUP(A28,YearToDate!$A$9:$B$34,2,0)</f>
        <v>0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47">
        <f t="shared" si="2"/>
        <v>0</v>
      </c>
      <c r="AI28" s="47">
        <f t="shared" si="2"/>
        <v>0</v>
      </c>
      <c r="AJ28" s="47">
        <f t="shared" si="2"/>
        <v>0</v>
      </c>
      <c r="AK28" s="47">
        <f t="shared" si="2"/>
        <v>0</v>
      </c>
      <c r="AL28" s="47">
        <f t="shared" si="2"/>
        <v>0</v>
      </c>
      <c r="AM28" s="47">
        <f t="shared" si="2"/>
        <v>0</v>
      </c>
      <c r="AN28" s="47">
        <f t="shared" si="2"/>
        <v>0</v>
      </c>
      <c r="AO28" s="47">
        <f t="shared" si="2"/>
        <v>0</v>
      </c>
    </row>
    <row r="29" spans="1:41" ht="16.5" customHeight="1" x14ac:dyDescent="0.25">
      <c r="A29" s="39">
        <f>YearToDate!A32</f>
        <v>29</v>
      </c>
      <c r="B29" s="40">
        <f>VLOOKUP(A29,YearToDate!$A$9:$B$34,2,0)</f>
        <v>0</v>
      </c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47">
        <f t="shared" si="2"/>
        <v>0</v>
      </c>
      <c r="AI29" s="47">
        <f t="shared" si="2"/>
        <v>0</v>
      </c>
      <c r="AJ29" s="47">
        <f t="shared" si="2"/>
        <v>0</v>
      </c>
      <c r="AK29" s="47">
        <f t="shared" si="2"/>
        <v>0</v>
      </c>
      <c r="AL29" s="47">
        <f t="shared" si="2"/>
        <v>0</v>
      </c>
      <c r="AM29" s="47">
        <f t="shared" si="2"/>
        <v>0</v>
      </c>
      <c r="AN29" s="47">
        <f t="shared" si="2"/>
        <v>0</v>
      </c>
      <c r="AO29" s="47">
        <f t="shared" si="2"/>
        <v>0</v>
      </c>
    </row>
    <row r="30" spans="1:41" s="28" customFormat="1" ht="16.5" customHeight="1" x14ac:dyDescent="0.25">
      <c r="A30" s="32"/>
      <c r="B30" s="33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48"/>
      <c r="AI30" s="48"/>
      <c r="AJ30" s="48"/>
      <c r="AK30" s="48"/>
      <c r="AL30" s="48"/>
      <c r="AM30" s="48"/>
      <c r="AN30" s="48"/>
      <c r="AO30" s="48"/>
    </row>
    <row r="31" spans="1:41" ht="16.5" customHeight="1" x14ac:dyDescent="0.25">
      <c r="A31" s="29" t="str">
        <f>HYPERLINK("https://www.vertex42.com/templates/employee-leave-tracker.html","https://www.vertex42.com/templates/employee-leave-tracker.html")</f>
        <v>https://www.vertex42.com/templates/employee-leave-tracker.html</v>
      </c>
      <c r="B31" s="35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AG31" s="37" t="s">
        <v>40</v>
      </c>
      <c r="AH31" s="49">
        <f>SUM(AH7:AH30)</f>
        <v>0</v>
      </c>
      <c r="AI31" s="49">
        <f>SUM(AI7:AI30)</f>
        <v>0</v>
      </c>
      <c r="AJ31" s="49">
        <f>SUM(AJ7:AJ30)</f>
        <v>0</v>
      </c>
      <c r="AK31" s="49">
        <f>SUM(AK7:AK30)</f>
        <v>0</v>
      </c>
      <c r="AL31" s="49">
        <f>SUM(AL7:AL30)</f>
        <v>0</v>
      </c>
      <c r="AM31" s="49">
        <f t="shared" ref="AM31:AN31" si="3">SUM(AM7:AM30)</f>
        <v>0</v>
      </c>
      <c r="AN31" s="49">
        <f t="shared" si="3"/>
        <v>0</v>
      </c>
      <c r="AO31" s="49">
        <f>SUM(AO7:AO30)</f>
        <v>0</v>
      </c>
    </row>
    <row r="32" spans="1:41" x14ac:dyDescent="0.25">
      <c r="A32" s="73"/>
      <c r="B32" s="73"/>
    </row>
  </sheetData>
  <mergeCells count="3">
    <mergeCell ref="A32:B32"/>
    <mergeCell ref="C4:AG4"/>
    <mergeCell ref="AH4:AO4"/>
  </mergeCells>
  <conditionalFormatting sqref="C6:AG6">
    <cfRule type="expression" dxfId="19" priority="2" stopIfTrue="1">
      <formula>OR(WEEKDAY(C$6,1)=1,WEEKDAY(C$6,1)=7)</formula>
    </cfRule>
    <cfRule type="cellIs" dxfId="18" priority="3" stopIfTrue="1" operator="equal">
      <formula>""</formula>
    </cfRule>
  </conditionalFormatting>
  <conditionalFormatting sqref="C7:AG29">
    <cfRule type="expression" dxfId="17" priority="4" stopIfTrue="1">
      <formula>OR(WEEKDAY(C$6)=1,WEEKDAY(C$6)=7)</formula>
    </cfRule>
    <cfRule type="expression" dxfId="16" priority="5" stopIfTrue="1">
      <formula>C$6=""</formula>
    </cfRule>
  </conditionalFormatting>
  <dataValidations count="1">
    <dataValidation type="list" allowBlank="1" sqref="C7:AG29">
      <formula1>$AH$6:$AO$6</formula1>
    </dataValidation>
  </dataValidations>
  <printOptions horizontalCentered="1"/>
  <pageMargins left="0.25" right="0.25" top="0.25" bottom="0.25" header="0.5" footer="0.5"/>
  <pageSetup scale="95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O32"/>
  <sheetViews>
    <sheetView showGridLines="0" workbookViewId="0">
      <selection activeCell="AP18" sqref="AP18"/>
    </sheetView>
  </sheetViews>
  <sheetFormatPr defaultColWidth="9.1796875" defaultRowHeight="12.5" x14ac:dyDescent="0.25"/>
  <cols>
    <col min="1" max="1" width="5.453125" style="18" customWidth="1"/>
    <col min="2" max="2" width="26.54296875" style="18" customWidth="1"/>
    <col min="3" max="33" width="3.26953125" style="18" customWidth="1"/>
    <col min="34" max="41" width="4.26953125" style="18" customWidth="1"/>
    <col min="42" max="16384" width="9.1796875" style="18"/>
  </cols>
  <sheetData>
    <row r="1" spans="1:41" ht="26.25" customHeight="1" x14ac:dyDescent="0.25">
      <c r="A1" s="17" t="str">
        <f>"December "&amp;YearToDate!$B$3</f>
        <v>December 2024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26" t="s">
        <v>0</v>
      </c>
    </row>
    <row r="2" spans="1:41" x14ac:dyDescent="0.25">
      <c r="AO2" s="27" t="s">
        <v>39</v>
      </c>
    </row>
    <row r="4" spans="1:41" ht="22" customHeight="1" x14ac:dyDescent="0.25">
      <c r="A4" s="60" t="s">
        <v>6</v>
      </c>
      <c r="B4" s="61"/>
      <c r="C4" s="74" t="str">
        <f>YearToDate!$A$5</f>
        <v>A = Annual,  S = Sick, M = Maternity, CM = Compationate, T = Terminal leave, ST = Study, E = Examination, CA = Casual</v>
      </c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1" t="s">
        <v>36</v>
      </c>
      <c r="AI4" s="71"/>
      <c r="AJ4" s="71"/>
      <c r="AK4" s="71"/>
      <c r="AL4" s="71"/>
      <c r="AM4" s="71"/>
      <c r="AN4" s="71"/>
      <c r="AO4" s="71"/>
    </row>
    <row r="5" spans="1:41" ht="16.5" customHeight="1" x14ac:dyDescent="0.25">
      <c r="A5" s="58"/>
      <c r="B5" s="59"/>
      <c r="C5" s="30" t="str">
        <f>IF(C6="","",INDEX({"Su";"M";"Tu";"W";"Th";"F";"Sa"},WEEKDAY(C6,1)))</f>
        <v>Su</v>
      </c>
      <c r="D5" s="30" t="str">
        <f>IF(D6="","",INDEX({"Su";"M";"Tu";"W";"Th";"F";"Sa"},WEEKDAY(D6,1)))</f>
        <v>M</v>
      </c>
      <c r="E5" s="30" t="str">
        <f>IF(E6="","",INDEX({"Su";"M";"Tu";"W";"Th";"F";"Sa"},WEEKDAY(E6,1)))</f>
        <v>Tu</v>
      </c>
      <c r="F5" s="30" t="str">
        <f>IF(F6="","",INDEX({"Su";"M";"Tu";"W";"Th";"F";"Sa"},WEEKDAY(F6,1)))</f>
        <v>W</v>
      </c>
      <c r="G5" s="30" t="str">
        <f>IF(G6="","",INDEX({"Su";"M";"Tu";"W";"Th";"F";"Sa"},WEEKDAY(G6,1)))</f>
        <v>Th</v>
      </c>
      <c r="H5" s="30" t="str">
        <f>IF(H6="","",INDEX({"Su";"M";"Tu";"W";"Th";"F";"Sa"},WEEKDAY(H6,1)))</f>
        <v>F</v>
      </c>
      <c r="I5" s="30" t="str">
        <f>IF(I6="","",INDEX({"Su";"M";"Tu";"W";"Th";"F";"Sa"},WEEKDAY(I6,1)))</f>
        <v>Sa</v>
      </c>
      <c r="J5" s="30" t="str">
        <f>IF(J6="","",INDEX({"Su";"M";"Tu";"W";"Th";"F";"Sa"},WEEKDAY(J6,1)))</f>
        <v>Su</v>
      </c>
      <c r="K5" s="30" t="str">
        <f>IF(K6="","",INDEX({"Su";"M";"Tu";"W";"Th";"F";"Sa"},WEEKDAY(K6,1)))</f>
        <v>M</v>
      </c>
      <c r="L5" s="30" t="str">
        <f>IF(L6="","",INDEX({"Su";"M";"Tu";"W";"Th";"F";"Sa"},WEEKDAY(L6,1)))</f>
        <v>Tu</v>
      </c>
      <c r="M5" s="30" t="str">
        <f>IF(M6="","",INDEX({"Su";"M";"Tu";"W";"Th";"F";"Sa"},WEEKDAY(M6,1)))</f>
        <v>W</v>
      </c>
      <c r="N5" s="30" t="str">
        <f>IF(N6="","",INDEX({"Su";"M";"Tu";"W";"Th";"F";"Sa"},WEEKDAY(N6,1)))</f>
        <v>Th</v>
      </c>
      <c r="O5" s="30" t="str">
        <f>IF(O6="","",INDEX({"Su";"M";"Tu";"W";"Th";"F";"Sa"},WEEKDAY(O6,1)))</f>
        <v>F</v>
      </c>
      <c r="P5" s="30" t="str">
        <f>IF(P6="","",INDEX({"Su";"M";"Tu";"W";"Th";"F";"Sa"},WEEKDAY(P6,1)))</f>
        <v>Sa</v>
      </c>
      <c r="Q5" s="30" t="str">
        <f>IF(Q6="","",INDEX({"Su";"M";"Tu";"W";"Th";"F";"Sa"},WEEKDAY(Q6,1)))</f>
        <v>Su</v>
      </c>
      <c r="R5" s="30" t="str">
        <f>IF(R6="","",INDEX({"Su";"M";"Tu";"W";"Th";"F";"Sa"},WEEKDAY(R6,1)))</f>
        <v>M</v>
      </c>
      <c r="S5" s="30" t="str">
        <f>IF(S6="","",INDEX({"Su";"M";"Tu";"W";"Th";"F";"Sa"},WEEKDAY(S6,1)))</f>
        <v>Tu</v>
      </c>
      <c r="T5" s="30" t="str">
        <f>IF(T6="","",INDEX({"Su";"M";"Tu";"W";"Th";"F";"Sa"},WEEKDAY(T6,1)))</f>
        <v>W</v>
      </c>
      <c r="U5" s="30" t="str">
        <f>IF(U6="","",INDEX({"Su";"M";"Tu";"W";"Th";"F";"Sa"},WEEKDAY(U6,1)))</f>
        <v>Th</v>
      </c>
      <c r="V5" s="30" t="str">
        <f>IF(V6="","",INDEX({"Su";"M";"Tu";"W";"Th";"F";"Sa"},WEEKDAY(V6,1)))</f>
        <v>F</v>
      </c>
      <c r="W5" s="30" t="str">
        <f>IF(W6="","",INDEX({"Su";"M";"Tu";"W";"Th";"F";"Sa"},WEEKDAY(W6,1)))</f>
        <v>Sa</v>
      </c>
      <c r="X5" s="30" t="str">
        <f>IF(X6="","",INDEX({"Su";"M";"Tu";"W";"Th";"F";"Sa"},WEEKDAY(X6,1)))</f>
        <v>Su</v>
      </c>
      <c r="Y5" s="30" t="str">
        <f>IF(Y6="","",INDEX({"Su";"M";"Tu";"W";"Th";"F";"Sa"},WEEKDAY(Y6,1)))</f>
        <v>M</v>
      </c>
      <c r="Z5" s="30" t="str">
        <f>IF(Z6="","",INDEX({"Su";"M";"Tu";"W";"Th";"F";"Sa"},WEEKDAY(Z6,1)))</f>
        <v>Tu</v>
      </c>
      <c r="AA5" s="30" t="str">
        <f>IF(AA6="","",INDEX({"Su";"M";"Tu";"W";"Th";"F";"Sa"},WEEKDAY(AA6,1)))</f>
        <v>W</v>
      </c>
      <c r="AB5" s="30" t="str">
        <f>IF(AB6="","",INDEX({"Su";"M";"Tu";"W";"Th";"F";"Sa"},WEEKDAY(AB6,1)))</f>
        <v>Th</v>
      </c>
      <c r="AC5" s="30" t="str">
        <f>IF(AC6="","",INDEX({"Su";"M";"Tu";"W";"Th";"F";"Sa"},WEEKDAY(AC6,1)))</f>
        <v>F</v>
      </c>
      <c r="AD5" s="30" t="str">
        <f>IF(AD6="","",INDEX({"Su";"M";"Tu";"W";"Th";"F";"Sa"},WEEKDAY(AD6,1)))</f>
        <v>Sa</v>
      </c>
      <c r="AE5" s="30" t="str">
        <f>IF(AE6="","",INDEX({"Su";"M";"Tu";"W";"Th";"F";"Sa"},WEEKDAY(AE6,1)))</f>
        <v>Su</v>
      </c>
      <c r="AF5" s="30" t="str">
        <f>IF(AF6="","",INDEX({"Su";"M";"Tu";"W";"Th";"F";"Sa"},WEEKDAY(AF6,1)))</f>
        <v>M</v>
      </c>
      <c r="AG5" s="30" t="str">
        <f>IF(AG6="","",INDEX({"Su";"M";"Tu";"W";"Th";"F";"Sa"},WEEKDAY(AG6,1)))</f>
        <v>Tu</v>
      </c>
      <c r="AH5" s="62"/>
      <c r="AI5" s="62"/>
      <c r="AJ5" s="62"/>
      <c r="AK5" s="62"/>
      <c r="AL5" s="62"/>
      <c r="AM5" s="62"/>
      <c r="AN5" s="62"/>
      <c r="AO5" s="62"/>
    </row>
    <row r="6" spans="1:41" ht="16.5" customHeight="1" x14ac:dyDescent="0.25">
      <c r="A6" s="45" t="s">
        <v>8</v>
      </c>
      <c r="B6" s="38" t="s">
        <v>9</v>
      </c>
      <c r="C6" s="43">
        <f>DATE(YearToDate!$B$3,12,1)</f>
        <v>45627</v>
      </c>
      <c r="D6" s="43">
        <f>C6+1</f>
        <v>45628</v>
      </c>
      <c r="E6" s="43">
        <f t="shared" ref="E6:AD6" si="0">D6+1</f>
        <v>45629</v>
      </c>
      <c r="F6" s="43">
        <f t="shared" si="0"/>
        <v>45630</v>
      </c>
      <c r="G6" s="43">
        <f>F6+1</f>
        <v>45631</v>
      </c>
      <c r="H6" s="43">
        <f t="shared" si="0"/>
        <v>45632</v>
      </c>
      <c r="I6" s="43">
        <f t="shared" si="0"/>
        <v>45633</v>
      </c>
      <c r="J6" s="43">
        <f t="shared" si="0"/>
        <v>45634</v>
      </c>
      <c r="K6" s="43">
        <f t="shared" si="0"/>
        <v>45635</v>
      </c>
      <c r="L6" s="43">
        <f t="shared" si="0"/>
        <v>45636</v>
      </c>
      <c r="M6" s="43">
        <f t="shared" si="0"/>
        <v>45637</v>
      </c>
      <c r="N6" s="43">
        <f t="shared" si="0"/>
        <v>45638</v>
      </c>
      <c r="O6" s="43">
        <f t="shared" si="0"/>
        <v>45639</v>
      </c>
      <c r="P6" s="43">
        <f t="shared" si="0"/>
        <v>45640</v>
      </c>
      <c r="Q6" s="43">
        <f t="shared" si="0"/>
        <v>45641</v>
      </c>
      <c r="R6" s="43">
        <f t="shared" si="0"/>
        <v>45642</v>
      </c>
      <c r="S6" s="43">
        <f t="shared" si="0"/>
        <v>45643</v>
      </c>
      <c r="T6" s="43">
        <f t="shared" si="0"/>
        <v>45644</v>
      </c>
      <c r="U6" s="43">
        <f t="shared" si="0"/>
        <v>45645</v>
      </c>
      <c r="V6" s="43">
        <f t="shared" si="0"/>
        <v>45646</v>
      </c>
      <c r="W6" s="43">
        <f t="shared" si="0"/>
        <v>45647</v>
      </c>
      <c r="X6" s="43">
        <f t="shared" si="0"/>
        <v>45648</v>
      </c>
      <c r="Y6" s="43">
        <f t="shared" si="0"/>
        <v>45649</v>
      </c>
      <c r="Z6" s="43">
        <f t="shared" si="0"/>
        <v>45650</v>
      </c>
      <c r="AA6" s="43">
        <f t="shared" si="0"/>
        <v>45651</v>
      </c>
      <c r="AB6" s="43">
        <f t="shared" si="0"/>
        <v>45652</v>
      </c>
      <c r="AC6" s="43">
        <f t="shared" si="0"/>
        <v>45653</v>
      </c>
      <c r="AD6" s="43">
        <f t="shared" si="0"/>
        <v>45654</v>
      </c>
      <c r="AE6" s="43">
        <f>IF(MONTH($AD6+1)&gt;MONTH($C$6),"",$AD6+1)</f>
        <v>45655</v>
      </c>
      <c r="AF6" s="43">
        <f>IF(MONTH($AD6+2)&gt;MONTH($C$6),"",$AD6+2)</f>
        <v>45656</v>
      </c>
      <c r="AG6" s="43">
        <f>IF(MONTH($AD6+3)&gt;MONTH($C$6),"",$AD6+3)</f>
        <v>45657</v>
      </c>
      <c r="AH6" s="31" t="str">
        <f>YearToDate!C9</f>
        <v>A</v>
      </c>
      <c r="AI6" s="31" t="str">
        <f>YearToDate!E9</f>
        <v>S</v>
      </c>
      <c r="AJ6" s="31" t="str">
        <f>YearToDate!G9</f>
        <v>M</v>
      </c>
      <c r="AK6" s="31" t="str">
        <f>YearToDate!I9</f>
        <v>CM</v>
      </c>
      <c r="AL6" s="31" t="str">
        <f>YearToDate!K9</f>
        <v>T</v>
      </c>
      <c r="AM6" s="31" t="str">
        <f>YearToDate!M9</f>
        <v>ST</v>
      </c>
      <c r="AN6" s="31" t="str">
        <f>YearToDate!O9</f>
        <v>E</v>
      </c>
      <c r="AO6" s="31" t="str">
        <f>YearToDate!Q9</f>
        <v>CA</v>
      </c>
    </row>
    <row r="7" spans="1:41" ht="16.5" customHeight="1" x14ac:dyDescent="0.25">
      <c r="A7" s="39">
        <f>YearToDate!A10</f>
        <v>1</v>
      </c>
      <c r="B7" s="40" t="str">
        <f>VLOOKUP(A7,YearToDate!$A$9:$B$34,2,0)</f>
        <v>AHMAN ABDULJABBAR</v>
      </c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47">
        <f>COUNTIF($C7:$AG7,AH$6)+0.5*COUNTIF($C7:$AG7,AH$6&amp;"H")+0.5*COUNTIF($C7:$AG7,"H"&amp;AH$6)</f>
        <v>0</v>
      </c>
      <c r="AI7" s="47">
        <f t="shared" ref="AI7:AO16" si="1">COUNTIF($C7:$AG7,AI$6)+0.5*COUNTIF($C7:$AG7,AI$6&amp;"H")+0.5*COUNTIF($C7:$AG7,"H"&amp;AI$6)</f>
        <v>0</v>
      </c>
      <c r="AJ7" s="47">
        <f t="shared" si="1"/>
        <v>0</v>
      </c>
      <c r="AK7" s="47">
        <f t="shared" si="1"/>
        <v>0</v>
      </c>
      <c r="AL7" s="47">
        <f t="shared" si="1"/>
        <v>0</v>
      </c>
      <c r="AM7" s="47">
        <f t="shared" si="1"/>
        <v>0</v>
      </c>
      <c r="AN7" s="47">
        <f t="shared" si="1"/>
        <v>0</v>
      </c>
      <c r="AO7" s="47">
        <f t="shared" si="1"/>
        <v>0</v>
      </c>
    </row>
    <row r="8" spans="1:41" ht="16.5" customHeight="1" x14ac:dyDescent="0.25">
      <c r="A8" s="39">
        <f>YearToDate!A11</f>
        <v>2</v>
      </c>
      <c r="B8" s="40" t="str">
        <f>VLOOKUP(A8,YearToDate!$A$9:$B$34,2,0)</f>
        <v>ALIYU MUSA ABUBAKAR</v>
      </c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47">
        <f t="shared" ref="AH8:AO29" si="2">COUNTIF($C8:$AG8,AH$6)+0.5*COUNTIF($C8:$AG8,AH$6&amp;"H")+0.5*COUNTIF($C8:$AG8,"H"&amp;AH$6)</f>
        <v>0</v>
      </c>
      <c r="AI8" s="47">
        <f t="shared" si="1"/>
        <v>0</v>
      </c>
      <c r="AJ8" s="47">
        <f t="shared" si="1"/>
        <v>0</v>
      </c>
      <c r="AK8" s="47">
        <f t="shared" si="1"/>
        <v>0</v>
      </c>
      <c r="AL8" s="47">
        <f t="shared" si="1"/>
        <v>0</v>
      </c>
      <c r="AM8" s="47">
        <f t="shared" si="1"/>
        <v>0</v>
      </c>
      <c r="AN8" s="47">
        <f t="shared" si="1"/>
        <v>0</v>
      </c>
      <c r="AO8" s="47">
        <f t="shared" si="1"/>
        <v>0</v>
      </c>
    </row>
    <row r="9" spans="1:41" ht="16.5" customHeight="1" x14ac:dyDescent="0.25">
      <c r="A9" s="39">
        <f>YearToDate!A12</f>
        <v>3</v>
      </c>
      <c r="B9" s="40" t="str">
        <f>VLOOKUP(A9,YearToDate!$A$9:$B$34,2,0)</f>
        <v>GOSTA ALIYU</v>
      </c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47">
        <f t="shared" si="2"/>
        <v>0</v>
      </c>
      <c r="AI9" s="47">
        <f t="shared" si="1"/>
        <v>0</v>
      </c>
      <c r="AJ9" s="47">
        <f t="shared" si="1"/>
        <v>0</v>
      </c>
      <c r="AK9" s="47">
        <f t="shared" si="1"/>
        <v>0</v>
      </c>
      <c r="AL9" s="47">
        <f t="shared" si="1"/>
        <v>0</v>
      </c>
      <c r="AM9" s="47">
        <f t="shared" si="1"/>
        <v>0</v>
      </c>
      <c r="AN9" s="47">
        <f t="shared" si="1"/>
        <v>0</v>
      </c>
      <c r="AO9" s="47">
        <f t="shared" si="1"/>
        <v>0</v>
      </c>
    </row>
    <row r="10" spans="1:41" ht="16.5" customHeight="1" x14ac:dyDescent="0.25">
      <c r="A10" s="39">
        <f>YearToDate!A13</f>
        <v>4</v>
      </c>
      <c r="B10" s="40" t="str">
        <f>VLOOKUP(A10,YearToDate!$A$9:$B$34,2,0)</f>
        <v>IBRAHIM TUKURA RILWAN</v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47">
        <f t="shared" si="2"/>
        <v>0</v>
      </c>
      <c r="AI10" s="47">
        <f t="shared" si="1"/>
        <v>0</v>
      </c>
      <c r="AJ10" s="47">
        <f t="shared" si="1"/>
        <v>0</v>
      </c>
      <c r="AK10" s="47">
        <f t="shared" si="1"/>
        <v>0</v>
      </c>
      <c r="AL10" s="47">
        <f t="shared" si="1"/>
        <v>0</v>
      </c>
      <c r="AM10" s="47">
        <f t="shared" si="1"/>
        <v>0</v>
      </c>
      <c r="AN10" s="47">
        <f t="shared" si="1"/>
        <v>0</v>
      </c>
      <c r="AO10" s="47">
        <f t="shared" si="1"/>
        <v>0</v>
      </c>
    </row>
    <row r="11" spans="1:41" ht="16.5" customHeight="1" x14ac:dyDescent="0.25">
      <c r="A11" s="39">
        <f>YearToDate!A14</f>
        <v>5</v>
      </c>
      <c r="B11" s="40" t="str">
        <f>VLOOKUP(A11,YearToDate!$A$9:$B$34,2,0)</f>
        <v>HASSAN HABEEB</v>
      </c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47">
        <f t="shared" si="2"/>
        <v>0</v>
      </c>
      <c r="AI11" s="47">
        <f t="shared" si="1"/>
        <v>0</v>
      </c>
      <c r="AJ11" s="47">
        <f t="shared" si="1"/>
        <v>0</v>
      </c>
      <c r="AK11" s="47">
        <f t="shared" si="1"/>
        <v>0</v>
      </c>
      <c r="AL11" s="47">
        <f t="shared" si="1"/>
        <v>0</v>
      </c>
      <c r="AM11" s="47">
        <f t="shared" si="1"/>
        <v>0</v>
      </c>
      <c r="AN11" s="47">
        <f t="shared" si="1"/>
        <v>0</v>
      </c>
      <c r="AO11" s="47">
        <f t="shared" si="1"/>
        <v>0</v>
      </c>
    </row>
    <row r="12" spans="1:41" ht="16.5" customHeight="1" x14ac:dyDescent="0.25">
      <c r="A12" s="39">
        <f>YearToDate!A15</f>
        <v>6</v>
      </c>
      <c r="B12" s="40" t="str">
        <f>VLOOKUP(A12,YearToDate!$A$9:$B$34,2,0)</f>
        <v>SHEHU NABILA</v>
      </c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47">
        <f t="shared" si="2"/>
        <v>0</v>
      </c>
      <c r="AI12" s="47">
        <f t="shared" si="1"/>
        <v>0</v>
      </c>
      <c r="AJ12" s="47">
        <f t="shared" si="1"/>
        <v>0</v>
      </c>
      <c r="AK12" s="47">
        <f t="shared" si="1"/>
        <v>0</v>
      </c>
      <c r="AL12" s="47">
        <f t="shared" si="1"/>
        <v>0</v>
      </c>
      <c r="AM12" s="47">
        <f t="shared" si="1"/>
        <v>0</v>
      </c>
      <c r="AN12" s="47">
        <f t="shared" si="1"/>
        <v>0</v>
      </c>
      <c r="AO12" s="47">
        <f t="shared" si="1"/>
        <v>0</v>
      </c>
    </row>
    <row r="13" spans="1:41" ht="16.5" customHeight="1" x14ac:dyDescent="0.25">
      <c r="A13" s="39">
        <f>YearToDate!A16</f>
        <v>7</v>
      </c>
      <c r="B13" s="40" t="str">
        <f>VLOOKUP(A13,YearToDate!$A$9:$B$34,2,0)</f>
        <v>SULEMAN IBRAHIM</v>
      </c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47">
        <f t="shared" si="2"/>
        <v>0</v>
      </c>
      <c r="AI13" s="47">
        <f t="shared" si="1"/>
        <v>0</v>
      </c>
      <c r="AJ13" s="47">
        <f t="shared" si="1"/>
        <v>0</v>
      </c>
      <c r="AK13" s="47">
        <f t="shared" si="1"/>
        <v>0</v>
      </c>
      <c r="AL13" s="47">
        <f t="shared" si="1"/>
        <v>0</v>
      </c>
      <c r="AM13" s="47">
        <f t="shared" si="1"/>
        <v>0</v>
      </c>
      <c r="AN13" s="47">
        <f t="shared" si="1"/>
        <v>0</v>
      </c>
      <c r="AO13" s="47">
        <f t="shared" si="1"/>
        <v>0</v>
      </c>
    </row>
    <row r="14" spans="1:41" ht="16.5" customHeight="1" x14ac:dyDescent="0.25">
      <c r="A14" s="39">
        <f>YearToDate!A17</f>
        <v>8</v>
      </c>
      <c r="B14" s="40" t="str">
        <f>VLOOKUP(A14,YearToDate!$A$9:$B$34,2,0)</f>
        <v>EMMANUELA LONGJAP</v>
      </c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47">
        <f t="shared" si="2"/>
        <v>0</v>
      </c>
      <c r="AI14" s="47">
        <f t="shared" si="1"/>
        <v>0</v>
      </c>
      <c r="AJ14" s="47">
        <f t="shared" si="1"/>
        <v>0</v>
      </c>
      <c r="AK14" s="47">
        <f t="shared" si="1"/>
        <v>0</v>
      </c>
      <c r="AL14" s="47">
        <f t="shared" si="1"/>
        <v>0</v>
      </c>
      <c r="AM14" s="47">
        <f t="shared" si="1"/>
        <v>0</v>
      </c>
      <c r="AN14" s="47">
        <f t="shared" si="1"/>
        <v>0</v>
      </c>
      <c r="AO14" s="47">
        <f t="shared" si="1"/>
        <v>0</v>
      </c>
    </row>
    <row r="15" spans="1:41" ht="16.5" customHeight="1" x14ac:dyDescent="0.25">
      <c r="A15" s="39">
        <f>YearToDate!A18</f>
        <v>9</v>
      </c>
      <c r="B15" s="40" t="str">
        <f>VLOOKUP(A15,YearToDate!$A$9:$B$34,2,0)</f>
        <v xml:space="preserve">OLUCHI EZE 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47">
        <f t="shared" si="2"/>
        <v>0</v>
      </c>
      <c r="AI15" s="47">
        <f t="shared" si="1"/>
        <v>0</v>
      </c>
      <c r="AJ15" s="47">
        <f t="shared" si="1"/>
        <v>0</v>
      </c>
      <c r="AK15" s="47">
        <f t="shared" si="1"/>
        <v>0</v>
      </c>
      <c r="AL15" s="47">
        <f t="shared" si="1"/>
        <v>0</v>
      </c>
      <c r="AM15" s="47">
        <f t="shared" si="1"/>
        <v>0</v>
      </c>
      <c r="AN15" s="47">
        <f t="shared" si="1"/>
        <v>0</v>
      </c>
      <c r="AO15" s="47">
        <f t="shared" si="1"/>
        <v>0</v>
      </c>
    </row>
    <row r="16" spans="1:41" ht="16.5" customHeight="1" x14ac:dyDescent="0.25">
      <c r="A16" s="39">
        <f>YearToDate!A19</f>
        <v>10</v>
      </c>
      <c r="B16" s="40" t="str">
        <f>VLOOKUP(A16,YearToDate!$A$9:$B$34,2,0)</f>
        <v>NURA ABDULLAHI</v>
      </c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47">
        <f t="shared" si="2"/>
        <v>0</v>
      </c>
      <c r="AI16" s="47">
        <f t="shared" si="1"/>
        <v>0</v>
      </c>
      <c r="AJ16" s="47">
        <f t="shared" si="1"/>
        <v>0</v>
      </c>
      <c r="AK16" s="47">
        <f t="shared" si="1"/>
        <v>0</v>
      </c>
      <c r="AL16" s="47">
        <f t="shared" si="1"/>
        <v>0</v>
      </c>
      <c r="AM16" s="47">
        <f t="shared" si="1"/>
        <v>0</v>
      </c>
      <c r="AN16" s="47">
        <f t="shared" si="1"/>
        <v>0</v>
      </c>
      <c r="AO16" s="47">
        <f t="shared" si="1"/>
        <v>0</v>
      </c>
    </row>
    <row r="17" spans="1:41" ht="16.5" customHeight="1" x14ac:dyDescent="0.25">
      <c r="A17" s="39">
        <f>YearToDate!A20</f>
        <v>11</v>
      </c>
      <c r="B17" s="40" t="str">
        <f>VLOOKUP(A17,YearToDate!$A$9:$B$34,2,0)</f>
        <v>VERA EGELAMBA EZINNE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47">
        <f t="shared" si="2"/>
        <v>0</v>
      </c>
      <c r="AI17" s="47">
        <f t="shared" si="2"/>
        <v>0</v>
      </c>
      <c r="AJ17" s="47">
        <f t="shared" si="2"/>
        <v>0</v>
      </c>
      <c r="AK17" s="47">
        <f t="shared" si="2"/>
        <v>0</v>
      </c>
      <c r="AL17" s="47">
        <f t="shared" si="2"/>
        <v>0</v>
      </c>
      <c r="AM17" s="47">
        <f t="shared" si="2"/>
        <v>0</v>
      </c>
      <c r="AN17" s="47">
        <f t="shared" si="2"/>
        <v>0</v>
      </c>
      <c r="AO17" s="47">
        <f t="shared" si="2"/>
        <v>0</v>
      </c>
    </row>
    <row r="18" spans="1:41" ht="16.5" customHeight="1" x14ac:dyDescent="0.25">
      <c r="A18" s="39">
        <f>YearToDate!A21</f>
        <v>18</v>
      </c>
      <c r="B18" s="40" t="str">
        <f>VLOOKUP(A18,YearToDate!$A$9:$B$34,2,0)</f>
        <v>NAIMA LABARAN DABO</v>
      </c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47">
        <f t="shared" si="2"/>
        <v>0</v>
      </c>
      <c r="AI18" s="47">
        <f t="shared" si="2"/>
        <v>0</v>
      </c>
      <c r="AJ18" s="47">
        <f t="shared" si="2"/>
        <v>0</v>
      </c>
      <c r="AK18" s="47">
        <f t="shared" si="2"/>
        <v>0</v>
      </c>
      <c r="AL18" s="47">
        <f t="shared" si="2"/>
        <v>0</v>
      </c>
      <c r="AM18" s="47">
        <f t="shared" si="2"/>
        <v>0</v>
      </c>
      <c r="AN18" s="47">
        <f t="shared" si="2"/>
        <v>0</v>
      </c>
      <c r="AO18" s="47">
        <f t="shared" si="2"/>
        <v>0</v>
      </c>
    </row>
    <row r="19" spans="1:41" ht="16.5" customHeight="1" x14ac:dyDescent="0.25">
      <c r="A19" s="39">
        <f>YearToDate!A22</f>
        <v>19</v>
      </c>
      <c r="B19" s="40">
        <f>VLOOKUP(A19,YearToDate!$A$9:$B$34,2,0)</f>
        <v>0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47">
        <f t="shared" si="2"/>
        <v>0</v>
      </c>
      <c r="AI19" s="47">
        <f t="shared" si="2"/>
        <v>0</v>
      </c>
      <c r="AJ19" s="47">
        <f t="shared" si="2"/>
        <v>0</v>
      </c>
      <c r="AK19" s="47">
        <f t="shared" si="2"/>
        <v>0</v>
      </c>
      <c r="AL19" s="47">
        <f t="shared" si="2"/>
        <v>0</v>
      </c>
      <c r="AM19" s="47">
        <f t="shared" si="2"/>
        <v>0</v>
      </c>
      <c r="AN19" s="47">
        <f t="shared" si="2"/>
        <v>0</v>
      </c>
      <c r="AO19" s="47">
        <f t="shared" si="2"/>
        <v>0</v>
      </c>
    </row>
    <row r="20" spans="1:41" ht="16.5" customHeight="1" x14ac:dyDescent="0.25">
      <c r="A20" s="39">
        <f>YearToDate!A23</f>
        <v>20</v>
      </c>
      <c r="B20" s="40">
        <f>VLOOKUP(A20,YearToDate!$A$9:$B$34,2,0)</f>
        <v>0</v>
      </c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47">
        <f t="shared" si="2"/>
        <v>0</v>
      </c>
      <c r="AI20" s="47">
        <f t="shared" si="2"/>
        <v>0</v>
      </c>
      <c r="AJ20" s="47">
        <f t="shared" si="2"/>
        <v>0</v>
      </c>
      <c r="AK20" s="47">
        <f t="shared" si="2"/>
        <v>0</v>
      </c>
      <c r="AL20" s="47">
        <f t="shared" si="2"/>
        <v>0</v>
      </c>
      <c r="AM20" s="47">
        <f t="shared" si="2"/>
        <v>0</v>
      </c>
      <c r="AN20" s="47">
        <f t="shared" si="2"/>
        <v>0</v>
      </c>
      <c r="AO20" s="47">
        <f t="shared" si="2"/>
        <v>0</v>
      </c>
    </row>
    <row r="21" spans="1:41" ht="16.5" customHeight="1" x14ac:dyDescent="0.25">
      <c r="A21" s="39">
        <f>YearToDate!A24</f>
        <v>21</v>
      </c>
      <c r="B21" s="40">
        <f>VLOOKUP(A21,YearToDate!$A$9:$B$34,2,0)</f>
        <v>0</v>
      </c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47">
        <f t="shared" si="2"/>
        <v>0</v>
      </c>
      <c r="AI21" s="47">
        <f t="shared" si="2"/>
        <v>0</v>
      </c>
      <c r="AJ21" s="47">
        <f t="shared" si="2"/>
        <v>0</v>
      </c>
      <c r="AK21" s="47">
        <f t="shared" si="2"/>
        <v>0</v>
      </c>
      <c r="AL21" s="47">
        <f t="shared" si="2"/>
        <v>0</v>
      </c>
      <c r="AM21" s="47">
        <f t="shared" si="2"/>
        <v>0</v>
      </c>
      <c r="AN21" s="47">
        <f t="shared" si="2"/>
        <v>0</v>
      </c>
      <c r="AO21" s="47">
        <f t="shared" si="2"/>
        <v>0</v>
      </c>
    </row>
    <row r="22" spans="1:41" ht="16.5" customHeight="1" x14ac:dyDescent="0.25">
      <c r="A22" s="39">
        <f>YearToDate!A25</f>
        <v>22</v>
      </c>
      <c r="B22" s="40">
        <f>VLOOKUP(A22,YearToDate!$A$9:$B$34,2,0)</f>
        <v>0</v>
      </c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47">
        <f t="shared" si="2"/>
        <v>0</v>
      </c>
      <c r="AI22" s="47">
        <f t="shared" si="2"/>
        <v>0</v>
      </c>
      <c r="AJ22" s="47">
        <f t="shared" si="2"/>
        <v>0</v>
      </c>
      <c r="AK22" s="47">
        <f t="shared" si="2"/>
        <v>0</v>
      </c>
      <c r="AL22" s="47">
        <f t="shared" si="2"/>
        <v>0</v>
      </c>
      <c r="AM22" s="47">
        <f t="shared" si="2"/>
        <v>0</v>
      </c>
      <c r="AN22" s="47">
        <f t="shared" si="2"/>
        <v>0</v>
      </c>
      <c r="AO22" s="47">
        <f t="shared" si="2"/>
        <v>0</v>
      </c>
    </row>
    <row r="23" spans="1:41" ht="16.5" customHeight="1" x14ac:dyDescent="0.25">
      <c r="A23" s="39">
        <f>YearToDate!A26</f>
        <v>23</v>
      </c>
      <c r="B23" s="40">
        <f>VLOOKUP(A23,YearToDate!$A$9:$B$34,2,0)</f>
        <v>0</v>
      </c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47">
        <f t="shared" si="2"/>
        <v>0</v>
      </c>
      <c r="AI23" s="47">
        <f t="shared" si="2"/>
        <v>0</v>
      </c>
      <c r="AJ23" s="47">
        <f t="shared" si="2"/>
        <v>0</v>
      </c>
      <c r="AK23" s="47">
        <f t="shared" si="2"/>
        <v>0</v>
      </c>
      <c r="AL23" s="47">
        <f t="shared" si="2"/>
        <v>0</v>
      </c>
      <c r="AM23" s="47">
        <f t="shared" si="2"/>
        <v>0</v>
      </c>
      <c r="AN23" s="47">
        <f t="shared" si="2"/>
        <v>0</v>
      </c>
      <c r="AO23" s="47">
        <f t="shared" si="2"/>
        <v>0</v>
      </c>
    </row>
    <row r="24" spans="1:41" ht="16.5" customHeight="1" x14ac:dyDescent="0.25">
      <c r="A24" s="39">
        <f>YearToDate!A27</f>
        <v>24</v>
      </c>
      <c r="B24" s="40">
        <f>VLOOKUP(A24,YearToDate!$A$9:$B$34,2,0)</f>
        <v>0</v>
      </c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47">
        <f t="shared" si="2"/>
        <v>0</v>
      </c>
      <c r="AI24" s="47">
        <f t="shared" si="2"/>
        <v>0</v>
      </c>
      <c r="AJ24" s="47">
        <f t="shared" si="2"/>
        <v>0</v>
      </c>
      <c r="AK24" s="47">
        <f t="shared" si="2"/>
        <v>0</v>
      </c>
      <c r="AL24" s="47">
        <f t="shared" si="2"/>
        <v>0</v>
      </c>
      <c r="AM24" s="47">
        <f t="shared" si="2"/>
        <v>0</v>
      </c>
      <c r="AN24" s="47">
        <f t="shared" si="2"/>
        <v>0</v>
      </c>
      <c r="AO24" s="47">
        <f t="shared" si="2"/>
        <v>0</v>
      </c>
    </row>
    <row r="25" spans="1:41" ht="16.5" customHeight="1" x14ac:dyDescent="0.25">
      <c r="A25" s="39">
        <f>YearToDate!A28</f>
        <v>25</v>
      </c>
      <c r="B25" s="40">
        <f>VLOOKUP(A25,YearToDate!$A$9:$B$34,2,0)</f>
        <v>0</v>
      </c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47">
        <f t="shared" si="2"/>
        <v>0</v>
      </c>
      <c r="AI25" s="47">
        <f t="shared" si="2"/>
        <v>0</v>
      </c>
      <c r="AJ25" s="47">
        <f t="shared" si="2"/>
        <v>0</v>
      </c>
      <c r="AK25" s="47">
        <f t="shared" si="2"/>
        <v>0</v>
      </c>
      <c r="AL25" s="47">
        <f t="shared" si="2"/>
        <v>0</v>
      </c>
      <c r="AM25" s="47">
        <f t="shared" si="2"/>
        <v>0</v>
      </c>
      <c r="AN25" s="47">
        <f t="shared" si="2"/>
        <v>0</v>
      </c>
      <c r="AO25" s="47">
        <f t="shared" si="2"/>
        <v>0</v>
      </c>
    </row>
    <row r="26" spans="1:41" ht="16.5" customHeight="1" x14ac:dyDescent="0.25">
      <c r="A26" s="39">
        <f>YearToDate!A29</f>
        <v>26</v>
      </c>
      <c r="B26" s="40">
        <f>VLOOKUP(A26,YearToDate!$A$9:$B$34,2,0)</f>
        <v>0</v>
      </c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47">
        <f t="shared" si="2"/>
        <v>0</v>
      </c>
      <c r="AI26" s="47">
        <f t="shared" si="2"/>
        <v>0</v>
      </c>
      <c r="AJ26" s="47">
        <f t="shared" si="2"/>
        <v>0</v>
      </c>
      <c r="AK26" s="47">
        <f t="shared" si="2"/>
        <v>0</v>
      </c>
      <c r="AL26" s="47">
        <f t="shared" si="2"/>
        <v>0</v>
      </c>
      <c r="AM26" s="47">
        <f t="shared" si="2"/>
        <v>0</v>
      </c>
      <c r="AN26" s="47">
        <f t="shared" si="2"/>
        <v>0</v>
      </c>
      <c r="AO26" s="47">
        <f t="shared" si="2"/>
        <v>0</v>
      </c>
    </row>
    <row r="27" spans="1:41" ht="16.5" customHeight="1" x14ac:dyDescent="0.25">
      <c r="A27" s="39">
        <f>YearToDate!A30</f>
        <v>27</v>
      </c>
      <c r="B27" s="40">
        <f>VLOOKUP(A27,YearToDate!$A$9:$B$34,2,0)</f>
        <v>0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47">
        <f t="shared" si="2"/>
        <v>0</v>
      </c>
      <c r="AI27" s="47">
        <f t="shared" si="2"/>
        <v>0</v>
      </c>
      <c r="AJ27" s="47">
        <f t="shared" si="2"/>
        <v>0</v>
      </c>
      <c r="AK27" s="47">
        <f t="shared" si="2"/>
        <v>0</v>
      </c>
      <c r="AL27" s="47">
        <f t="shared" si="2"/>
        <v>0</v>
      </c>
      <c r="AM27" s="47">
        <f t="shared" si="2"/>
        <v>0</v>
      </c>
      <c r="AN27" s="47">
        <f t="shared" si="2"/>
        <v>0</v>
      </c>
      <c r="AO27" s="47">
        <f t="shared" si="2"/>
        <v>0</v>
      </c>
    </row>
    <row r="28" spans="1:41" ht="16.5" customHeight="1" x14ac:dyDescent="0.25">
      <c r="A28" s="39">
        <f>YearToDate!A31</f>
        <v>28</v>
      </c>
      <c r="B28" s="40">
        <f>VLOOKUP(A28,YearToDate!$A$9:$B$34,2,0)</f>
        <v>0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47">
        <f t="shared" si="2"/>
        <v>0</v>
      </c>
      <c r="AI28" s="47">
        <f t="shared" si="2"/>
        <v>0</v>
      </c>
      <c r="AJ28" s="47">
        <f t="shared" si="2"/>
        <v>0</v>
      </c>
      <c r="AK28" s="47">
        <f t="shared" si="2"/>
        <v>0</v>
      </c>
      <c r="AL28" s="47">
        <f t="shared" si="2"/>
        <v>0</v>
      </c>
      <c r="AM28" s="47">
        <f t="shared" si="2"/>
        <v>0</v>
      </c>
      <c r="AN28" s="47">
        <f t="shared" si="2"/>
        <v>0</v>
      </c>
      <c r="AO28" s="47">
        <f t="shared" si="2"/>
        <v>0</v>
      </c>
    </row>
    <row r="29" spans="1:41" ht="16.5" customHeight="1" x14ac:dyDescent="0.25">
      <c r="A29" s="39">
        <f>YearToDate!A32</f>
        <v>29</v>
      </c>
      <c r="B29" s="40">
        <f>VLOOKUP(A29,YearToDate!$A$9:$B$34,2,0)</f>
        <v>0</v>
      </c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47">
        <f t="shared" si="2"/>
        <v>0</v>
      </c>
      <c r="AI29" s="47">
        <f t="shared" si="2"/>
        <v>0</v>
      </c>
      <c r="AJ29" s="47">
        <f t="shared" si="2"/>
        <v>0</v>
      </c>
      <c r="AK29" s="47">
        <f t="shared" si="2"/>
        <v>0</v>
      </c>
      <c r="AL29" s="47">
        <f t="shared" si="2"/>
        <v>0</v>
      </c>
      <c r="AM29" s="47">
        <f t="shared" si="2"/>
        <v>0</v>
      </c>
      <c r="AN29" s="47">
        <f t="shared" si="2"/>
        <v>0</v>
      </c>
      <c r="AO29" s="47">
        <f t="shared" si="2"/>
        <v>0</v>
      </c>
    </row>
    <row r="30" spans="1:41" s="28" customFormat="1" ht="16.5" customHeight="1" x14ac:dyDescent="0.25">
      <c r="A30" s="32"/>
      <c r="B30" s="33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48"/>
      <c r="AI30" s="48"/>
      <c r="AJ30" s="48"/>
      <c r="AK30" s="48"/>
      <c r="AL30" s="48"/>
      <c r="AM30" s="48"/>
      <c r="AN30" s="48"/>
      <c r="AO30" s="48"/>
    </row>
    <row r="31" spans="1:41" ht="16.5" customHeight="1" x14ac:dyDescent="0.25">
      <c r="A31" s="29" t="str">
        <f>HYPERLINK("https://www.vertex42.com/templates/employee-leave-tracker.html","https://www.vertex42.com/templates/employee-leave-tracker.html")</f>
        <v>https://www.vertex42.com/templates/employee-leave-tracker.html</v>
      </c>
      <c r="B31" s="35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AG31" s="37" t="s">
        <v>40</v>
      </c>
      <c r="AH31" s="49">
        <f>SUM(AH7:AH30)</f>
        <v>0</v>
      </c>
      <c r="AI31" s="49">
        <f>SUM(AI7:AI30)</f>
        <v>0</v>
      </c>
      <c r="AJ31" s="49">
        <f>SUM(AJ7:AJ30)</f>
        <v>0</v>
      </c>
      <c r="AK31" s="49">
        <f>SUM(AK7:AK30)</f>
        <v>0</v>
      </c>
      <c r="AL31" s="49">
        <f>SUM(AL7:AL30)</f>
        <v>0</v>
      </c>
      <c r="AM31" s="49">
        <f t="shared" ref="AM31:AN31" si="3">SUM(AM7:AM30)</f>
        <v>0</v>
      </c>
      <c r="AN31" s="49">
        <f t="shared" si="3"/>
        <v>0</v>
      </c>
      <c r="AO31" s="49">
        <f>SUM(AO7:AO30)</f>
        <v>0</v>
      </c>
    </row>
    <row r="32" spans="1:41" x14ac:dyDescent="0.25">
      <c r="A32" s="73"/>
      <c r="B32" s="73"/>
    </row>
  </sheetData>
  <mergeCells count="3">
    <mergeCell ref="A32:B32"/>
    <mergeCell ref="C4:AG4"/>
    <mergeCell ref="AH4:AO4"/>
  </mergeCells>
  <conditionalFormatting sqref="C6:AG6">
    <cfRule type="expression" dxfId="15" priority="2" stopIfTrue="1">
      <formula>OR(WEEKDAY(C$6,1)=1,WEEKDAY(C$6,1)=7)</formula>
    </cfRule>
    <cfRule type="cellIs" dxfId="14" priority="3" stopIfTrue="1" operator="equal">
      <formula>""</formula>
    </cfRule>
  </conditionalFormatting>
  <conditionalFormatting sqref="C7:AG29">
    <cfRule type="expression" dxfId="13" priority="4" stopIfTrue="1">
      <formula>OR(WEEKDAY(C$6)=1,WEEKDAY(C$6)=7)</formula>
    </cfRule>
    <cfRule type="expression" dxfId="12" priority="5" stopIfTrue="1">
      <formula>C$6=""</formula>
    </cfRule>
  </conditionalFormatting>
  <dataValidations count="1">
    <dataValidation type="list" allowBlank="1" sqref="C7:AG29">
      <formula1>$AH$6:$AO$6</formula1>
    </dataValidation>
  </dataValidations>
  <printOptions horizontalCentered="1"/>
  <pageMargins left="0.25" right="0.25" top="0.25" bottom="0.25" header="0.5" footer="0.5"/>
  <pageSetup scale="95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showGridLines="0" workbookViewId="0">
      <selection activeCell="B4" sqref="B4"/>
    </sheetView>
  </sheetViews>
  <sheetFormatPr defaultRowHeight="12.5" x14ac:dyDescent="0.25"/>
  <cols>
    <col min="1" max="1" width="2.81640625" style="14" customWidth="1"/>
    <col min="2" max="2" width="71.54296875" style="14" customWidth="1"/>
    <col min="3" max="3" width="22.26953125" customWidth="1"/>
  </cols>
  <sheetData>
    <row r="1" spans="1:3" ht="32.15" customHeight="1" x14ac:dyDescent="0.25">
      <c r="A1" s="1"/>
      <c r="B1" s="2" t="s">
        <v>0</v>
      </c>
      <c r="C1" s="3"/>
    </row>
    <row r="2" spans="1:3" ht="15.5" x14ac:dyDescent="0.35">
      <c r="A2" s="4"/>
      <c r="B2" s="5"/>
      <c r="C2" s="6"/>
    </row>
    <row r="3" spans="1:3" ht="15.5" x14ac:dyDescent="0.35">
      <c r="A3" s="4"/>
      <c r="B3" s="7" t="s">
        <v>41</v>
      </c>
      <c r="C3" s="6"/>
    </row>
    <row r="4" spans="1:3" ht="14" x14ac:dyDescent="0.3">
      <c r="A4" s="4"/>
      <c r="B4" s="25" t="s">
        <v>37</v>
      </c>
      <c r="C4" s="6"/>
    </row>
    <row r="5" spans="1:3" ht="15.5" x14ac:dyDescent="0.35">
      <c r="A5" s="4"/>
      <c r="B5" s="9"/>
      <c r="C5" s="6"/>
    </row>
    <row r="6" spans="1:3" ht="15.5" x14ac:dyDescent="0.35">
      <c r="A6" s="4"/>
      <c r="B6" s="10" t="s">
        <v>42</v>
      </c>
      <c r="C6" s="6"/>
    </row>
    <row r="7" spans="1:3" ht="15.5" x14ac:dyDescent="0.35">
      <c r="A7" s="4"/>
      <c r="B7" s="9"/>
      <c r="C7" s="6"/>
    </row>
    <row r="8" spans="1:3" ht="31" x14ac:dyDescent="0.35">
      <c r="A8" s="4"/>
      <c r="B8" s="9" t="s">
        <v>43</v>
      </c>
      <c r="C8" s="6"/>
    </row>
    <row r="9" spans="1:3" ht="15.5" x14ac:dyDescent="0.35">
      <c r="A9" s="4"/>
      <c r="B9" s="9"/>
      <c r="C9" s="6"/>
    </row>
    <row r="10" spans="1:3" ht="31" x14ac:dyDescent="0.35">
      <c r="A10" s="4"/>
      <c r="B10" s="9" t="s">
        <v>44</v>
      </c>
      <c r="C10" s="6"/>
    </row>
    <row r="11" spans="1:3" ht="15.5" x14ac:dyDescent="0.35">
      <c r="A11" s="4"/>
      <c r="B11" s="9"/>
      <c r="C11" s="6"/>
    </row>
    <row r="12" spans="1:3" ht="31" x14ac:dyDescent="0.35">
      <c r="A12" s="4"/>
      <c r="B12" s="9" t="s">
        <v>45</v>
      </c>
      <c r="C12" s="6"/>
    </row>
    <row r="13" spans="1:3" ht="15.5" x14ac:dyDescent="0.35">
      <c r="A13" s="4"/>
      <c r="B13" s="9"/>
      <c r="C13" s="6"/>
    </row>
    <row r="14" spans="1:3" ht="15.5" x14ac:dyDescent="0.35">
      <c r="A14" s="4"/>
      <c r="B14" s="10" t="s">
        <v>46</v>
      </c>
      <c r="C14" s="6"/>
    </row>
    <row r="15" spans="1:3" ht="15.5" x14ac:dyDescent="0.35">
      <c r="A15" s="4"/>
      <c r="B15" s="11" t="s">
        <v>47</v>
      </c>
      <c r="C15" s="6"/>
    </row>
    <row r="16" spans="1:3" ht="15.5" x14ac:dyDescent="0.35">
      <c r="A16" s="4"/>
      <c r="B16" s="12"/>
      <c r="C16" s="6"/>
    </row>
    <row r="17" spans="1:3" ht="15.5" x14ac:dyDescent="0.35">
      <c r="A17" s="4"/>
      <c r="B17" s="13" t="s">
        <v>48</v>
      </c>
      <c r="C17" s="6"/>
    </row>
    <row r="18" spans="1:3" ht="14" x14ac:dyDescent="0.3">
      <c r="A18" s="4"/>
      <c r="B18" s="4"/>
      <c r="C18" s="6"/>
    </row>
    <row r="19" spans="1:3" ht="14" x14ac:dyDescent="0.3">
      <c r="A19" s="4"/>
      <c r="B19" s="4"/>
      <c r="C19" s="6"/>
    </row>
  </sheetData>
  <hyperlinks>
    <hyperlink ref="B15" r:id="rId1"/>
    <hyperlink ref="B4" r:id="rId2"/>
  </hyperlinks>
  <pageMargins left="0.7" right="0.7" top="0.75" bottom="0.75" header="0.3" footer="0.3"/>
  <pageSetup orientation="portrait" r:id="rId3"/>
  <drawing r:id="rId4"/>
  <picture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2cf96b9-5c1f-4b60-86d2-aac199a8af2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FF839F65E0054CBA1D9BCEFED5D340" ma:contentTypeVersion="13" ma:contentTypeDescription="Create a new document." ma:contentTypeScope="" ma:versionID="7667940c27b5b72586eafe12707a5c2f">
  <xsd:schema xmlns:xsd="http://www.w3.org/2001/XMLSchema" xmlns:xs="http://www.w3.org/2001/XMLSchema" xmlns:p="http://schemas.microsoft.com/office/2006/metadata/properties" xmlns:ns2="e2cf96b9-5c1f-4b60-86d2-aac199a8af24" xmlns:ns3="ac5c290b-b339-40be-a537-33fe46ff506f" targetNamespace="http://schemas.microsoft.com/office/2006/metadata/properties" ma:root="true" ma:fieldsID="7ae29d58f201473832d0aa8326ed1b0b" ns2:_="" ns3:_="">
    <xsd:import namespace="e2cf96b9-5c1f-4b60-86d2-aac199a8af24"/>
    <xsd:import namespace="ac5c290b-b339-40be-a537-33fe46ff50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cf96b9-5c1f-4b60-86d2-aac199a8af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00bb4a32-148a-4166-a4f7-94b1016090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5c290b-b339-40be-a537-33fe46ff506f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FFF81B6-7111-4D1D-BDDF-522513126490}">
  <ds:schemaRefs>
    <ds:schemaRef ds:uri="http://schemas.microsoft.com/office/2006/metadata/properties"/>
    <ds:schemaRef ds:uri="http://schemas.microsoft.com/office/infopath/2007/PartnerControls"/>
    <ds:schemaRef ds:uri="e2cf96b9-5c1f-4b60-86d2-aac199a8af24"/>
  </ds:schemaRefs>
</ds:datastoreItem>
</file>

<file path=customXml/itemProps2.xml><?xml version="1.0" encoding="utf-8"?>
<ds:datastoreItem xmlns:ds="http://schemas.openxmlformats.org/officeDocument/2006/customXml" ds:itemID="{02017145-A1F8-4C13-8F0E-E4DEBC1DCA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cf96b9-5c1f-4b60-86d2-aac199a8af24"/>
    <ds:schemaRef ds:uri="ac5c290b-b339-40be-a537-33fe46ff50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390800-EE12-453B-9EA1-972503CB7EB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14</vt:i4>
      </vt:variant>
    </vt:vector>
  </HeadingPairs>
  <TitlesOfParts>
    <vt:vector size="28" baseType="lpstr">
      <vt:lpstr>YearToDate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©</vt:lpstr>
      <vt:lpstr>list_totals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YearToDate!Print_Area</vt:lpstr>
    </vt:vector>
  </TitlesOfParts>
  <Manager/>
  <Company>Vertex42 LLC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Employee Leave Tracker</dc:title>
  <dc:subject/>
  <dc:creator>Vertex42.com</dc:creator>
  <cp:keywords/>
  <dc:description>(c) 2020-2021 Vertex42 LLC. All Rights Reserved.</dc:description>
  <cp:lastModifiedBy>USER</cp:lastModifiedBy>
  <cp:revision/>
  <dcterms:created xsi:type="dcterms:W3CDTF">2008-04-12T17:21:19Z</dcterms:created>
  <dcterms:modified xsi:type="dcterms:W3CDTF">2024-02-13T15:52:45Z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2020-2021 Vertex42 LLC</vt:lpwstr>
  </property>
  <property fmtid="{D5CDD505-2E9C-101B-9397-08002B2CF9AE}" pid="3" name="Version">
    <vt:lpwstr>1.0.1</vt:lpwstr>
  </property>
  <property fmtid="{D5CDD505-2E9C-101B-9397-08002B2CF9AE}" pid="4" name="Source">
    <vt:lpwstr>https://www.vertex42.com/templates/employee-leave-tracker.html</vt:lpwstr>
  </property>
  <property fmtid="{D5CDD505-2E9C-101B-9397-08002B2CF9AE}" pid="5" name="ContentTypeId">
    <vt:lpwstr>0x01010035FF839F65E0054CBA1D9BCEFED5D340</vt:lpwstr>
  </property>
  <property fmtid="{D5CDD505-2E9C-101B-9397-08002B2CF9AE}" pid="6" name="MediaServiceImageTags">
    <vt:lpwstr/>
  </property>
</Properties>
</file>