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9B8ED7F-225B-480F-BFD6-0AA57D6AC990}" xr6:coauthVersionLast="47" xr6:coauthVersionMax="47" xr10:uidLastSave="{00000000-0000-0000-0000-000000000000}"/>
  <bookViews>
    <workbookView xWindow="-110" yWindow="-110" windowWidth="19420" windowHeight="10420" activeTab="1" xr2:uid="{934BE748-9510-4F61-A7A5-68001B1BEE67}"/>
  </bookViews>
  <sheets>
    <sheet name="GOSTA" sheetId="1" r:id="rId1"/>
    <sheet name="PERAMARE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4" i="1"/>
  <c r="F5" i="1" s="1"/>
  <c r="F6" i="1" s="1"/>
  <c r="F7" i="1" s="1"/>
  <c r="F8" i="1" s="1"/>
  <c r="F9" i="1" s="1"/>
  <c r="J5" i="2" l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P5" i="2" l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V5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AB5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H5" i="2" s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N5" i="2" s="1"/>
  <c r="AP5" i="2" s="1"/>
  <c r="AP6" i="2" s="1"/>
  <c r="AP7" i="2" s="1"/>
  <c r="AP8" i="2" s="1"/>
  <c r="AP9" i="2" s="1"/>
  <c r="AP10" i="2" s="1"/>
  <c r="AP11" i="2" s="1"/>
  <c r="AP12" i="2" s="1"/>
  <c r="AP13" i="2" s="1"/>
  <c r="AP14" i="2" s="1"/>
  <c r="AP15" i="2" s="1"/>
  <c r="AP16" i="2" s="1"/>
  <c r="AP17" i="2" s="1"/>
  <c r="AP18" i="2" s="1"/>
  <c r="AP19" i="2" s="1"/>
  <c r="AP20" i="2" s="1"/>
  <c r="AP21" i="2" s="1"/>
  <c r="AP22" i="2" s="1"/>
  <c r="AP23" i="2" s="1"/>
  <c r="AP24" i="2" s="1"/>
  <c r="AP25" i="2" s="1"/>
  <c r="AP26" i="2" s="1"/>
  <c r="AP27" i="2" s="1"/>
  <c r="AP28" i="2" s="1"/>
  <c r="AP29" i="2" s="1"/>
  <c r="AP30" i="2" s="1"/>
  <c r="AT5" i="2" s="1"/>
  <c r="AV5" i="2" s="1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Z5" i="2" s="1"/>
  <c r="BB5" i="2" s="1"/>
  <c r="BB6" i="2" s="1"/>
  <c r="BB7" i="2" s="1"/>
  <c r="BB8" i="2" s="1"/>
  <c r="BB9" i="2" s="1"/>
  <c r="BB10" i="2" s="1"/>
  <c r="BB11" i="2" s="1"/>
  <c r="BB12" i="2" s="1"/>
  <c r="BB13" i="2" s="1"/>
  <c r="BB14" i="2" s="1"/>
  <c r="BB15" i="2" s="1"/>
  <c r="BB16" i="2" s="1"/>
  <c r="BB17" i="2" s="1"/>
  <c r="BB18" i="2" s="1"/>
  <c r="BB19" i="2" s="1"/>
  <c r="BB20" i="2" s="1"/>
  <c r="BB21" i="2" s="1"/>
  <c r="BB22" i="2" s="1"/>
  <c r="BB23" i="2" s="1"/>
  <c r="BB24" i="2" s="1"/>
  <c r="BB25" i="2" s="1"/>
  <c r="BB26" i="2" s="1"/>
  <c r="BB27" i="2" s="1"/>
  <c r="BB28" i="2" s="1"/>
  <c r="BB29" i="2" s="1"/>
  <c r="BB30" i="2" s="1"/>
  <c r="BF5" i="2" s="1"/>
  <c r="BH5" i="2" s="1"/>
  <c r="BH6" i="2" s="1"/>
  <c r="BH7" i="2" s="1"/>
  <c r="BH8" i="2" s="1"/>
  <c r="BH9" i="2" s="1"/>
  <c r="BH10" i="2" s="1"/>
  <c r="BH11" i="2" s="1"/>
  <c r="BH12" i="2" s="1"/>
  <c r="BH13" i="2" s="1"/>
  <c r="BH14" i="2" s="1"/>
  <c r="BH15" i="2" s="1"/>
  <c r="BH16" i="2" s="1"/>
  <c r="BH17" i="2" s="1"/>
  <c r="BH18" i="2" s="1"/>
  <c r="BH19" i="2" s="1"/>
  <c r="BH20" i="2" s="1"/>
  <c r="BH21" i="2" s="1"/>
  <c r="BH22" i="2" s="1"/>
  <c r="BH23" i="2" s="1"/>
  <c r="BH24" i="2" s="1"/>
  <c r="BH25" i="2" s="1"/>
  <c r="BH26" i="2" s="1"/>
  <c r="BH27" i="2" s="1"/>
  <c r="BH28" i="2" s="1"/>
  <c r="BH29" i="2" s="1"/>
  <c r="BH30" i="2" s="1"/>
  <c r="BL5" i="2" s="1"/>
  <c r="BN5" i="2" s="1"/>
  <c r="BN6" i="2" s="1"/>
  <c r="BN7" i="2" s="1"/>
  <c r="BN8" i="2" s="1"/>
  <c r="BN9" i="2" s="1"/>
  <c r="BN10" i="2" s="1"/>
  <c r="BN11" i="2" s="1"/>
  <c r="BN12" i="2" s="1"/>
  <c r="BN13" i="2" s="1"/>
  <c r="BN14" i="2" s="1"/>
  <c r="BN15" i="2" s="1"/>
  <c r="BN16" i="2" s="1"/>
  <c r="BN17" i="2" s="1"/>
  <c r="BN18" i="2" s="1"/>
  <c r="BN19" i="2" s="1"/>
  <c r="BN20" i="2" s="1"/>
  <c r="BN21" i="2" s="1"/>
  <c r="BN22" i="2" s="1"/>
  <c r="BN23" i="2" s="1"/>
  <c r="BN24" i="2" s="1"/>
  <c r="BN25" i="2" s="1"/>
  <c r="BN26" i="2" s="1"/>
  <c r="BN27" i="2" s="1"/>
  <c r="BN28" i="2" s="1"/>
  <c r="BN29" i="2" s="1"/>
  <c r="BN30" i="2" s="1"/>
  <c r="BR5" i="2" s="1"/>
  <c r="BT5" i="2" s="1"/>
  <c r="BT6" i="2" s="1"/>
  <c r="BT7" i="2" s="1"/>
  <c r="BT8" i="2" s="1"/>
  <c r="BT9" i="2" s="1"/>
  <c r="BT10" i="2" s="1"/>
  <c r="BT11" i="2" s="1"/>
  <c r="BT12" i="2" s="1"/>
  <c r="BT13" i="2" s="1"/>
  <c r="BT14" i="2" s="1"/>
  <c r="BT15" i="2" s="1"/>
  <c r="BT16" i="2" s="1"/>
  <c r="BT17" i="2" s="1"/>
  <c r="BT18" i="2" s="1"/>
  <c r="BT19" i="2" s="1"/>
  <c r="BT20" i="2" s="1"/>
  <c r="BT21" i="2" s="1"/>
  <c r="BT22" i="2" s="1"/>
  <c r="BT23" i="2" s="1"/>
  <c r="BT24" i="2" s="1"/>
  <c r="BT25" i="2" s="1"/>
  <c r="BT26" i="2" s="1"/>
  <c r="BT27" i="2" s="1"/>
  <c r="BT28" i="2" s="1"/>
  <c r="BT29" i="2" s="1"/>
  <c r="BT30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</calcChain>
</file>

<file path=xl/sharedStrings.xml><?xml version="1.0" encoding="utf-8"?>
<sst xmlns="http://schemas.openxmlformats.org/spreadsheetml/2006/main" count="188" uniqueCount="45">
  <si>
    <t>Date</t>
  </si>
  <si>
    <t>Description</t>
  </si>
  <si>
    <t>Receipts</t>
  </si>
  <si>
    <t>Payment</t>
  </si>
  <si>
    <t>Balance</t>
  </si>
  <si>
    <t>beingpaymentfor200ltrsofdiesel</t>
  </si>
  <si>
    <t>beingpaymentforpettycash</t>
  </si>
  <si>
    <t>beingpaymentforstarlinksubscription</t>
  </si>
  <si>
    <t>beingpaymentforrepairandmaintenance</t>
  </si>
  <si>
    <t>Received</t>
  </si>
  <si>
    <t>PERAMARE</t>
  </si>
  <si>
    <t>DATE</t>
  </si>
  <si>
    <t>DETAILS</t>
  </si>
  <si>
    <t>DEPOSIT</t>
  </si>
  <si>
    <t>BALANCE</t>
  </si>
  <si>
    <t>AGL 470(CORROLLA)</t>
  </si>
  <si>
    <t>FUELING SCHEDULE WITH AA RANO</t>
  </si>
  <si>
    <t>ABC 05GH</t>
  </si>
  <si>
    <t>DJN-586NT(FORD)</t>
  </si>
  <si>
    <t>BWR 745CF  (HILUX)</t>
  </si>
  <si>
    <t>JANUARY DEPOSIT</t>
  </si>
  <si>
    <t>FEBRUARY DEPOSIT</t>
  </si>
  <si>
    <t>B/D</t>
  </si>
  <si>
    <t>BWR 745CF (HILUX)</t>
  </si>
  <si>
    <t>BWR 744CF (HILUX)</t>
  </si>
  <si>
    <t>AGL 470 CORROLLA</t>
  </si>
  <si>
    <t>BWR 745CF(HILUX)</t>
  </si>
  <si>
    <t>MARCH DEPOSIT</t>
  </si>
  <si>
    <t>bwR 744CF(HILUX)</t>
  </si>
  <si>
    <t>ABC789CB</t>
  </si>
  <si>
    <t>KRD 908 HD</t>
  </si>
  <si>
    <t>S</t>
  </si>
  <si>
    <t>APRIL DEPOSIT</t>
  </si>
  <si>
    <t>ABC 789 CB</t>
  </si>
  <si>
    <t>BWR 745 CF(HILUX)</t>
  </si>
  <si>
    <t>hilux</t>
  </si>
  <si>
    <t>MAY DEPOSIT</t>
  </si>
  <si>
    <t>JUNE DEPOSIT</t>
  </si>
  <si>
    <t>JULY DEPOSIT</t>
  </si>
  <si>
    <t>AUGUST DEPOSIT</t>
  </si>
  <si>
    <t>EXPENSE</t>
  </si>
  <si>
    <t>SEPTEMBER DEPOSIT</t>
  </si>
  <si>
    <t>OCTOBER DEPOSIT</t>
  </si>
  <si>
    <t>NOVEMBER DEPOSIT</t>
  </si>
  <si>
    <t>DECEMBER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</si>
</sst>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₦-468]\ #,##0.00"/>
    <numFmt numFmtId="165" formatCode="_-[$₦-468]\ * #,##0.00_-;\-[$₦-468]\ * #,##0.00_-;_-[$₦-468]\ * &quot;-&quot;??_-;_-@_-"/>
    <numFmt numFmtId="166" formatCode="[$₦-466]\ #,##0.00"/>
    <numFmt numFmtId="167" formatCode="[$₦-468]\ #,##0.00;\-[$₦-468]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" fontId="0" fillId="0" borderId="0" xfId="0" applyNumberFormat="1"/>
    <xf numFmtId="165" fontId="0" fillId="0" borderId="0" xfId="0" applyNumberFormat="1"/>
    <xf numFmtId="0" fontId="1" fillId="2" borderId="0" xfId="0" applyFont="1" applyFill="1"/>
    <xf numFmtId="165" fontId="1" fillId="2" borderId="0" xfId="0" applyNumberFormat="1" applyFont="1" applyFill="1"/>
    <xf numFmtId="166" fontId="0" fillId="0" borderId="0" xfId="0" applyNumberFormat="1"/>
    <xf numFmtId="167" fontId="3" fillId="0" borderId="0" xfId="1" applyNumberFormat="1" applyFont="1"/>
    <xf numFmtId="43" fontId="3" fillId="0" borderId="0" xfId="1" applyFont="1"/>
  </cellXfs>
  <cellStyles count="2">
    <cellStyle name="Comma" xfId="1" builtinId="3"/>
    <cellStyle name="Normal" xfId="0" builtinId="0"/>
  </cellStyles>
  <dxfs count="77">
    <dxf>
      <numFmt numFmtId="164" formatCode="[$₦-468]\ #,##0.00"/>
    </dxf>
    <dxf>
      <numFmt numFmtId="164" formatCode="[$₦-468]\ #,##0.00"/>
    </dxf>
    <dxf>
      <numFmt numFmtId="164" formatCode="[$₦-468]\ #,##0.00"/>
    </dxf>
    <dxf>
      <numFmt numFmtId="21" formatCode="d\-mmm"/>
    </dxf>
    <dxf>
      <numFmt numFmtId="164" formatCode="[$₦-468]\ #,##0.00"/>
    </dxf>
    <dxf>
      <font>
        <b val="0"/>
      </font>
      <numFmt numFmtId="166" formatCode="[$₦-466]\ #,##0.00"/>
    </dxf>
    <dxf>
      <font>
        <b val="0"/>
      </font>
      <numFmt numFmtId="166" formatCode="[$₦-466]\ #,##0.00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6" formatCode="[$₦-466]\ #,##0.00"/>
    </dxf>
    <dxf>
      <font>
        <b val="0"/>
      </font>
      <numFmt numFmtId="167" formatCode="[$₦-468]\ #,##0.00;\-[$₦-468]\ 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6" formatCode="[$₦-466]\ #,##0.00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6" formatCode="[$₦-466]\ #,##0.00"/>
    </dxf>
    <dxf>
      <font>
        <b val="0"/>
      </font>
      <numFmt numFmtId="166" formatCode="[$₦-466]\ #,##0.00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6" formatCode="[$₦-466]\ #,##0.00"/>
    </dxf>
    <dxf>
      <font>
        <b val="0"/>
      </font>
      <numFmt numFmtId="167" formatCode="[$₦-468]\ #,##0.00;\-[$₦-468]\ 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6" formatCode="[$₦-466]\ #,##0.00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6" formatCode="[$₦-466]\ #,##0.00"/>
    </dxf>
    <dxf>
      <font>
        <b val="0"/>
      </font>
      <numFmt numFmtId="166" formatCode="[$₦-466]\ #,##0.00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6" formatCode="[$₦-466]\ #,##0.00"/>
    </dxf>
    <dxf>
      <font>
        <b val="0"/>
      </font>
      <numFmt numFmtId="167" formatCode="[$₦-468]\ #,##0.00;\-[$₦-468]\ 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6" formatCode="[$₦-466]\ 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  <numFmt numFmtId="165" formatCode="_-[$₦-468]\ * #,##0.00_-;\-[$₦-468]\ * #,##0.00_-;_-[$₦-468]\ 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7A168-F1A9-43C5-83F2-9A39E36E9336}" name="Table1" displayName="Table1" ref="B3:F9" totalsRowShown="0" headerRowDxfId="4">
  <autoFilter ref="B3:F9" xr:uid="{F767A168-F1A9-43C5-83F2-9A39E36E9336}"/>
  <tableColumns count="5">
    <tableColumn id="1" xr3:uid="{F77D23B6-5129-47F7-8BBD-3AA7B7370021}" name="Date" dataDxfId="3"/>
    <tableColumn id="2" xr3:uid="{EA69E69F-27C4-4A0B-9035-38CF5B187E45}" name="Description"/>
    <tableColumn id="3" xr3:uid="{F38C3AB8-4B1F-446B-BB73-FCF6D8EA77FF}" name="Receipts" dataDxfId="2"/>
    <tableColumn id="4" xr3:uid="{D5DBEB2F-B49E-4E4A-ABCA-06C3BE61B309}" name="Payment" dataDxfId="1"/>
    <tableColumn id="5" xr3:uid="{B81E60FB-C7F2-4E95-912E-FA3A79B330B1}" name="Balance" dataDxfId="0">
      <calculatedColumnFormula>F3-E4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CABE95-3AB4-4BF6-9283-8DB19E8F6B84}" name="Table2" displayName="Table2" ref="B4:F30" totalsRowShown="0" dataDxfId="76">
  <autoFilter ref="B4:F30" xr:uid="{94CABE95-3AB4-4BF6-9283-8DB19E8F6B84}"/>
  <tableColumns count="5">
    <tableColumn id="1" xr3:uid="{6FF5F975-6367-4A03-96E1-00B4C207CA98}" name="DATE" dataDxfId="75"/>
    <tableColumn id="2" xr3:uid="{27A7B0F8-BDCB-4408-898B-627150F4DB6C}" name="DETAILS" dataDxfId="74"/>
    <tableColumn id="5" xr3:uid="{6CB6ECD6-B82B-45AD-878C-D8CBBEE5F9BE}" name="DEPOSIT" dataDxfId="73"/>
    <tableColumn id="3" xr3:uid="{FE17E33C-43B2-48BA-BEB3-59620E5480E7}" name="EXPENSE" dataDxfId="72"/>
    <tableColumn id="4" xr3:uid="{A27E194A-D72C-4583-A68C-1F7BAA2F695D}" name="BALANCE" dataDxfId="7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0C0C9E-88C7-4A25-9A88-47B09D70E24D}" name="Table4" displayName="Table4" ref="H4:L30" totalsRowShown="0" dataDxfId="70">
  <autoFilter ref="H4:L30" xr:uid="{C90C0C9E-88C7-4A25-9A88-47B09D70E24D}"/>
  <tableColumns count="5">
    <tableColumn id="1" xr3:uid="{1A0F7D86-09F9-4D16-9474-F5BF719227EB}" name="DATE" dataDxfId="69"/>
    <tableColumn id="2" xr3:uid="{FD27FFE3-31AF-4CCC-B1E3-29A938125D93}" name="DETAILS" dataDxfId="68"/>
    <tableColumn id="5" xr3:uid="{4F4BED82-A6D9-4109-9CB1-1A5FB76291F2}" name="DEPOSIT" dataDxfId="67"/>
    <tableColumn id="3" xr3:uid="{DB9711A6-FD67-41C5-8EF3-A94AB7745013}" name="EXPENSE" dataDxfId="66"/>
    <tableColumn id="4" xr3:uid="{8394FE0F-F98A-4A69-AED3-34F8E8F79285}" name="BALANCE" dataDxfId="6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41A455-3AC3-4C04-A240-FF98478CADD7}" name="Table44" displayName="Table44" ref="N4:R30" totalsRowShown="0" dataDxfId="64">
  <autoFilter ref="N4:R30" xr:uid="{3B41A455-3AC3-4C04-A240-FF98478CADD7}"/>
  <tableColumns count="5">
    <tableColumn id="1" xr3:uid="{FB278964-09B1-4A24-8646-F78DABDDD8EB}" name="DATE" dataDxfId="63"/>
    <tableColumn id="2" xr3:uid="{12603F9A-1967-416B-A70F-CB07EA507AA6}" name="DETAILS" dataDxfId="62"/>
    <tableColumn id="5" xr3:uid="{6D345E59-95BB-443C-A79D-363B305F9880}" name="DEPOSIT" dataDxfId="61" dataCellStyle="Comma"/>
    <tableColumn id="3" xr3:uid="{AFF8366C-BA2C-4362-9AD8-1C103AFCA5CA}" name="EXPENSE" dataDxfId="60"/>
    <tableColumn id="4" xr3:uid="{19489D85-2BCB-4C1B-A1B1-9D73062AEC98}" name="BALANCE" dataDxfId="59">
      <calculatedColumnFormula>L18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70E16F-DCB2-44E6-9E77-58850EFABF82}" name="Table6" displayName="Table6" ref="T4:X30" totalsRowShown="0" dataDxfId="58">
  <autoFilter ref="T4:X30" xr:uid="{2270E16F-DCB2-44E6-9E77-58850EFABF82}"/>
  <tableColumns count="5">
    <tableColumn id="1" xr3:uid="{AFF5DC2A-D2DC-45A2-9270-E3C99D742D16}" name="DATE" dataDxfId="57"/>
    <tableColumn id="2" xr3:uid="{BCA95BAB-73DC-4720-BA29-EC972F62B93F}" name="DETAILS" dataDxfId="56"/>
    <tableColumn id="5" xr3:uid="{43F1154D-5AC5-4592-A437-27C991852D39}" name="DEPOSIT" dataDxfId="55">
      <calculatedColumnFormula>R30</calculatedColumnFormula>
    </tableColumn>
    <tableColumn id="3" xr3:uid="{9FD307B5-493A-4C2C-88E1-35BD7E59E660}" name="EXPENSE" dataDxfId="54"/>
    <tableColumn id="4" xr3:uid="{F7EB6F53-C48E-45F7-B0A9-43BB861F444C}" name="BALANCE" dataDxfId="5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183116-6381-456A-9B57-5340E115AD24}" name="Table26" displayName="Table26" ref="Z4:AD30" totalsRowShown="0" dataDxfId="52">
  <autoFilter ref="Z4:AD30" xr:uid="{17183116-6381-456A-9B57-5340E115AD24}"/>
  <tableColumns count="5">
    <tableColumn id="1" xr3:uid="{4A6E644F-567D-4119-A15F-572B2E4B2E93}" name="DATE" dataDxfId="51"/>
    <tableColumn id="2" xr3:uid="{C8D6BF5B-C74D-4AC2-AE0A-80E203DB3AFB}" name="DETAILS" dataDxfId="50"/>
    <tableColumn id="5" xr3:uid="{94A0D7A1-B590-43D2-BB1F-93DF615D2416}" name="DEPOSIT" dataDxfId="49">
      <calculatedColumnFormula>X30</calculatedColumnFormula>
    </tableColumn>
    <tableColumn id="3" xr3:uid="{F53C48F5-5C2C-41E2-9426-BEA5E3E76E72}" name="EXPENSE" dataDxfId="48"/>
    <tableColumn id="4" xr3:uid="{978772F4-2155-4473-9DA7-1750FA4E3649}" name="BALANCE" dataDxfId="4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1933ED-9215-417E-922F-FAB9AC8B14AB}" name="Table48" displayName="Table48" ref="AF4:AJ30" totalsRowShown="0" dataDxfId="46">
  <autoFilter ref="AF4:AJ30" xr:uid="{F01933ED-9215-417E-922F-FAB9AC8B14AB}"/>
  <tableColumns count="5">
    <tableColumn id="1" xr3:uid="{5B5F725C-3B72-4EF2-B778-25C4ED62315F}" name="DATE" dataDxfId="45"/>
    <tableColumn id="2" xr3:uid="{97EACC57-9962-4444-82FA-DACD5D52D1FA}" name="DETAILS" dataDxfId="44"/>
    <tableColumn id="5" xr3:uid="{0C3F5080-ABD1-45CC-A24A-18F980516FB7}" name="DEPOSIT" dataDxfId="43">
      <calculatedColumnFormula>AD30</calculatedColumnFormula>
    </tableColumn>
    <tableColumn id="3" xr3:uid="{BD629C25-21FC-4C0F-BF34-9C0B83EB6E42}" name="EXPENSE" dataDxfId="42"/>
    <tableColumn id="4" xr3:uid="{7F0FA34E-D169-4A34-A11D-7A154ECCB7A0}" name="BALANCE" dataDxfId="4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4DB976-FC05-46D3-8C93-3C3D27623C8E}" name="Table449" displayName="Table449" ref="AL4:AP30" totalsRowShown="0" dataDxfId="40">
  <autoFilter ref="AL4:AP30" xr:uid="{DD4DB976-FC05-46D3-8C93-3C3D27623C8E}"/>
  <tableColumns count="5">
    <tableColumn id="1" xr3:uid="{7623F4CA-6EA7-405C-BBD8-57696AFECDEA}" name="DATE" dataDxfId="39"/>
    <tableColumn id="2" xr3:uid="{B9BBEB61-A4FC-48BC-9F4C-7A1F21E069F7}" name="DETAILS" dataDxfId="38"/>
    <tableColumn id="5" xr3:uid="{E5194A5F-33F5-4B3B-81F3-8C0F0EDEF600}" name="DEPOSIT" dataDxfId="37" dataCellStyle="Comma">
      <calculatedColumnFormula>AJ30</calculatedColumnFormula>
    </tableColumn>
    <tableColumn id="3" xr3:uid="{AEDE7777-4524-47E1-AE26-BF7818495D7B}" name="EXPENSE" dataDxfId="36"/>
    <tableColumn id="4" xr3:uid="{7B7EA7F2-574D-445F-B716-508F829FD4DB}" name="BALANCE" dataDxfId="35">
      <calculatedColumnFormula>AJ18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5B273C-797C-4655-B9FD-C33B3DFF2D10}" name="Table610" displayName="Table610" ref="AR4:AV30" totalsRowShown="0" dataDxfId="34">
  <autoFilter ref="AR4:AV30" xr:uid="{0B5B273C-797C-4655-B9FD-C33B3DFF2D10}"/>
  <tableColumns count="5">
    <tableColumn id="1" xr3:uid="{1CE9F655-A86F-4545-825E-458998764BC0}" name="DATE" dataDxfId="33"/>
    <tableColumn id="2" xr3:uid="{864E0D69-E9BD-4D17-B46B-32599F045CF6}" name="DETAILS" dataDxfId="32"/>
    <tableColumn id="5" xr3:uid="{DD8C8011-8267-4F76-A9E1-B28053E0176D}" name="DEPOSIT" dataDxfId="31">
      <calculatedColumnFormula>AP30</calculatedColumnFormula>
    </tableColumn>
    <tableColumn id="3" xr3:uid="{8CF109F4-1AAD-4CE9-8839-5C41E57CC54E}" name="EXPENSE" dataDxfId="30"/>
    <tableColumn id="4" xr3:uid="{21EA50F5-B8DE-48AE-A4BA-65372D0C2257}" name="BALANCE" dataDxfId="2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7B3AA8-CAD8-4E2D-B89E-8A25D80E5F61}" name="Table2611" displayName="Table2611" ref="AX4:BB30" totalsRowShown="0" dataDxfId="28">
  <autoFilter ref="AX4:BB30" xr:uid="{3A7B3AA8-CAD8-4E2D-B89E-8A25D80E5F61}"/>
  <tableColumns count="5">
    <tableColumn id="1" xr3:uid="{59C0B32E-635B-4562-A85B-BB4782467D29}" name="DATE" dataDxfId="27"/>
    <tableColumn id="2" xr3:uid="{97BFFB1A-9A5C-40E5-ADAF-642D4152BCF5}" name="DETAILS" dataDxfId="26"/>
    <tableColumn id="5" xr3:uid="{B5DB36D8-DA90-4361-A4AC-3094C79B8BCD}" name="DEPOSIT" dataDxfId="25">
      <calculatedColumnFormula>AV30</calculatedColumnFormula>
    </tableColumn>
    <tableColumn id="3" xr3:uid="{A41AAED8-4019-4BBA-BCA5-02C17F4752A7}" name="EXPENSE" dataDxfId="24"/>
    <tableColumn id="4" xr3:uid="{75D986FF-6651-4113-84E5-426CF63BA296}" name="BALANCE" dataDxfId="2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72E8DC-B159-4422-BDA7-986FEB52EE55}" name="Table4812" displayName="Table4812" ref="BD4:BH30" totalsRowShown="0" dataDxfId="22">
  <autoFilter ref="BD4:BH30" xr:uid="{5572E8DC-B159-4422-BDA7-986FEB52EE55}"/>
  <tableColumns count="5">
    <tableColumn id="1" xr3:uid="{2BD51B45-31E3-41E8-9B8E-701F119F43A8}" name="DATE" dataDxfId="21"/>
    <tableColumn id="2" xr3:uid="{0B438608-D1AF-42DF-8776-090FCE295478}" name="DETAILS" dataDxfId="20"/>
    <tableColumn id="5" xr3:uid="{D095917B-4425-4525-8F70-5DBEF1859D31}" name="DEPOSIT" dataDxfId="19">
      <calculatedColumnFormula>BB30</calculatedColumnFormula>
    </tableColumn>
    <tableColumn id="3" xr3:uid="{67C6495F-37D4-4831-8752-42276FA94FC5}" name="EXPENSE" dataDxfId="18"/>
    <tableColumn id="4" xr3:uid="{C60A0C18-0BDD-49AA-89BA-4A848AF1043F}" name="BALANCE" dataDxfId="1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2AB016-8009-4BEF-A368-CE085ED5B545}" name="Table44913" displayName="Table44913" ref="BJ4:BN30" totalsRowShown="0" dataDxfId="16">
  <autoFilter ref="BJ4:BN30" xr:uid="{252AB016-8009-4BEF-A368-CE085ED5B545}"/>
  <tableColumns count="5">
    <tableColumn id="1" xr3:uid="{1815DA9E-5AA6-4B55-8899-30665336BDDB}" name="DATE" dataDxfId="15"/>
    <tableColumn id="2" xr3:uid="{889E3EEB-DE08-48BA-B26F-A023435ABB21}" name="DETAILS" dataDxfId="14"/>
    <tableColumn id="5" xr3:uid="{66185971-7B87-41B2-B3FF-9F9907117A8A}" name="DEPOSIT" dataDxfId="13" dataCellStyle="Comma">
      <calculatedColumnFormula>BH30</calculatedColumnFormula>
    </tableColumn>
    <tableColumn id="3" xr3:uid="{3AC8DA93-4C23-41DE-B232-E922F8826B61}" name="EXPENSE" dataDxfId="12"/>
    <tableColumn id="4" xr3:uid="{EF751CED-AC85-4EE8-B136-155AE7F0F352}" name="BALANCE" dataDxfId="11">
      <calculatedColumnFormula>BH18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517CB9-9DDF-4DB0-83E6-9E83621DA72C}" name="Table61014" displayName="Table61014" ref="BP4:BT30" totalsRowShown="0" dataDxfId="10">
  <autoFilter ref="BP4:BT30" xr:uid="{CE517CB9-9DDF-4DB0-83E6-9E83621DA72C}"/>
  <tableColumns count="5">
    <tableColumn id="1" xr3:uid="{14EB3754-F796-4CAD-89A4-87FB5844839B}" name="DATE" dataDxfId="9"/>
    <tableColumn id="2" xr3:uid="{F53E78B1-889C-46C2-8B54-F9BB2E0FD889}" name="DETAILS" dataDxfId="8"/>
    <tableColumn id="5" xr3:uid="{14B56B5B-42CF-430E-8992-1B1C40024689}" name="DEPOSIT" dataDxfId="7">
      <calculatedColumnFormula>BN30</calculatedColumnFormula>
    </tableColumn>
    <tableColumn id="3" xr3:uid="{93E0EF73-AB79-4C6F-BD17-50E20FBC0E3E}" name="EXPENSE" dataDxfId="6"/>
    <tableColumn id="4" xr3:uid="{DD241322-33D6-4A69-886E-934BC8D367D0}" name="BALANCE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69C7-2661-4AD0-92B2-B51291D435CF}">
  <dimension ref="B3:F9"/>
  <sheetViews>
    <sheetView workbookViewId="0">
      <selection activeCell="C24" sqref="C24"/>
    </sheetView>
  </sheetViews>
  <sheetFormatPr defaultRowHeight="14.5" x14ac:dyDescent="0.35"/>
  <cols>
    <col min="1" max="1" width="6.453125" customWidth="1"/>
    <col min="3" max="3" width="33.6328125" customWidth="1"/>
    <col min="4" max="6" width="11.81640625" style="1" bestFit="1" customWidth="1"/>
  </cols>
  <sheetData>
    <row r="3" spans="2:6" x14ac:dyDescent="0.35">
      <c r="B3" t="s">
        <v>0</v>
      </c>
      <c r="C3" t="s">
        <v>1</v>
      </c>
      <c r="D3" s="1" t="s">
        <v>2</v>
      </c>
      <c r="E3" s="1" t="s">
        <v>3</v>
      </c>
      <c r="F3" s="1" t="s">
        <v>4</v>
      </c>
    </row>
    <row r="4" spans="2:6" x14ac:dyDescent="0.35">
      <c r="B4" s="2">
        <v>45962</v>
      </c>
      <c r="C4" t="s">
        <v>9</v>
      </c>
      <c r="D4" s="1">
        <v>500000</v>
      </c>
      <c r="F4" s="1">
        <f>D4</f>
        <v>500000</v>
      </c>
    </row>
    <row r="5" spans="2:6" x14ac:dyDescent="0.35">
      <c r="B5" s="2">
        <v>45965</v>
      </c>
      <c r="C5" t="s">
        <v>5</v>
      </c>
      <c r="E5" s="1">
        <v>276000</v>
      </c>
      <c r="F5" s="1">
        <f>F4-E5</f>
        <v>224000</v>
      </c>
    </row>
    <row r="6" spans="2:6" x14ac:dyDescent="0.35">
      <c r="B6" s="2">
        <v>45968</v>
      </c>
      <c r="C6" t="s">
        <v>6</v>
      </c>
      <c r="E6" s="1">
        <v>150000</v>
      </c>
      <c r="F6" s="1">
        <f>F5-E6</f>
        <v>74000</v>
      </c>
    </row>
    <row r="7" spans="2:6" x14ac:dyDescent="0.35">
      <c r="B7" s="2">
        <v>45972</v>
      </c>
      <c r="C7" t="s">
        <v>7</v>
      </c>
      <c r="E7" s="1">
        <v>57000</v>
      </c>
      <c r="F7" s="1">
        <f>F6-E7</f>
        <v>17000</v>
      </c>
    </row>
    <row r="8" spans="2:6" x14ac:dyDescent="0.35">
      <c r="B8" s="2">
        <v>45974</v>
      </c>
      <c r="C8" t="s">
        <v>9</v>
      </c>
      <c r="D8" s="1">
        <v>100000</v>
      </c>
      <c r="F8" s="1">
        <f>F7+D8</f>
        <v>117000</v>
      </c>
    </row>
    <row r="9" spans="2:6" x14ac:dyDescent="0.35">
      <c r="B9" s="2">
        <v>45974</v>
      </c>
      <c r="C9" t="s">
        <v>8</v>
      </c>
      <c r="E9" s="1">
        <v>75000</v>
      </c>
      <c r="F9" s="1">
        <f>F8-E9</f>
        <v>42000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0AA6-381B-4934-8BCB-89C7C4EEF923}">
  <dimension ref="B1:BT45"/>
  <sheetViews>
    <sheetView tabSelected="1" zoomScale="70" zoomScaleNormal="70" workbookViewId="0">
      <selection activeCell="BA20" sqref="BA20"/>
    </sheetView>
  </sheetViews>
  <sheetFormatPr defaultRowHeight="14.5" x14ac:dyDescent="0.35"/>
  <cols>
    <col min="1" max="1" width="4.453125" customWidth="1"/>
    <col min="2" max="2" width="16.453125" customWidth="1"/>
    <col min="3" max="4" width="21.81640625" customWidth="1"/>
    <col min="5" max="5" width="18.1796875" style="3" customWidth="1"/>
    <col min="6" max="6" width="15.90625" style="3" customWidth="1"/>
    <col min="9" max="10" width="20.36328125" customWidth="1"/>
    <col min="11" max="11" width="21.36328125" style="6" customWidth="1"/>
    <col min="12" max="12" width="26.08984375" customWidth="1"/>
    <col min="14" max="14" width="16.36328125" customWidth="1"/>
    <col min="15" max="16" width="20.1796875" customWidth="1"/>
    <col min="17" max="17" width="25.08984375" customWidth="1"/>
    <col min="18" max="18" width="15.81640625" customWidth="1"/>
    <col min="20" max="20" width="18.6328125" customWidth="1"/>
    <col min="21" max="22" width="16.54296875" customWidth="1"/>
    <col min="23" max="23" width="16.36328125" style="6" customWidth="1"/>
    <col min="24" max="24" width="17.90625" style="6" customWidth="1"/>
    <col min="26" max="26" width="16.453125" customWidth="1"/>
    <col min="27" max="28" width="21.81640625" customWidth="1"/>
    <col min="29" max="29" width="18.1796875" style="3" customWidth="1"/>
    <col min="30" max="30" width="15.90625" style="3" customWidth="1"/>
    <col min="33" max="34" width="20.36328125" customWidth="1"/>
    <col min="35" max="35" width="21.36328125" style="6" customWidth="1"/>
    <col min="36" max="36" width="26.08984375" customWidth="1"/>
    <col min="38" max="38" width="16.36328125" customWidth="1"/>
    <col min="39" max="40" width="20.1796875" customWidth="1"/>
    <col min="41" max="41" width="25.08984375" customWidth="1"/>
    <col min="42" max="42" width="15.81640625" customWidth="1"/>
    <col min="44" max="44" width="18.6328125" customWidth="1"/>
    <col min="45" max="46" width="16.54296875" customWidth="1"/>
    <col min="47" max="47" width="16.36328125" style="6" customWidth="1"/>
    <col min="48" max="48" width="17.90625" style="6" customWidth="1"/>
    <col min="50" max="50" width="16.453125" customWidth="1"/>
    <col min="51" max="52" width="21.81640625" customWidth="1"/>
    <col min="53" max="53" width="18.1796875" style="3" customWidth="1"/>
    <col min="54" max="54" width="15.90625" style="3" customWidth="1"/>
    <col min="57" max="58" width="20.36328125" customWidth="1"/>
    <col min="59" max="59" width="21.36328125" style="6" customWidth="1"/>
    <col min="60" max="60" width="26.08984375" customWidth="1"/>
    <col min="62" max="62" width="16.36328125" customWidth="1"/>
    <col min="63" max="64" width="20.1796875" customWidth="1"/>
    <col min="65" max="65" width="25.08984375" customWidth="1"/>
    <col min="66" max="66" width="15.81640625" customWidth="1"/>
    <col min="68" max="68" width="18.6328125" customWidth="1"/>
    <col min="69" max="70" width="16.54296875" customWidth="1"/>
    <col min="71" max="71" width="16.36328125" style="6" customWidth="1"/>
    <col min="72" max="72" width="17.90625" style="6" customWidth="1"/>
  </cols>
  <sheetData>
    <row r="1" spans="2:72" ht="18.5" x14ac:dyDescent="0.45">
      <c r="B1" s="4"/>
      <c r="C1" s="4"/>
      <c r="D1" s="4"/>
      <c r="E1" s="5"/>
      <c r="F1" s="5"/>
      <c r="H1" s="4"/>
      <c r="I1" s="4"/>
      <c r="J1" s="4"/>
      <c r="K1" s="5"/>
      <c r="L1" s="5"/>
      <c r="N1" s="4"/>
      <c r="O1" s="4"/>
      <c r="P1" s="4"/>
      <c r="Q1" s="5"/>
      <c r="R1" s="5"/>
      <c r="T1" s="4"/>
      <c r="U1" s="4"/>
      <c r="V1" s="4"/>
      <c r="W1" s="5"/>
      <c r="X1" s="5"/>
      <c r="Z1" s="4"/>
      <c r="AA1" s="4"/>
      <c r="AB1" s="4"/>
      <c r="AC1" s="5"/>
      <c r="AD1" s="5"/>
      <c r="AF1" s="4"/>
      <c r="AG1" s="4"/>
      <c r="AH1" s="4"/>
      <c r="AI1" s="5"/>
      <c r="AJ1" s="5"/>
      <c r="AL1" s="4"/>
      <c r="AM1" s="4"/>
      <c r="AN1" s="4"/>
      <c r="AO1" s="5"/>
      <c r="AP1" s="5"/>
      <c r="AR1" s="4"/>
      <c r="AS1" s="4"/>
      <c r="AT1" s="4"/>
      <c r="AU1" s="5"/>
      <c r="AV1" s="5"/>
      <c r="AX1" s="4"/>
      <c r="AY1" s="4"/>
      <c r="AZ1" s="4"/>
      <c r="BA1" s="5"/>
      <c r="BB1" s="5"/>
      <c r="BD1" s="4"/>
      <c r="BE1" s="4"/>
      <c r="BF1" s="4"/>
      <c r="BG1" s="5"/>
      <c r="BH1" s="5"/>
      <c r="BJ1" s="4"/>
      <c r="BK1" s="4"/>
      <c r="BL1" s="4"/>
      <c r="BM1" s="5"/>
      <c r="BN1" s="5"/>
      <c r="BP1" s="4"/>
      <c r="BQ1" s="4"/>
      <c r="BR1" s="4"/>
      <c r="BS1" s="5"/>
      <c r="BT1" s="5"/>
    </row>
    <row r="2" spans="2:72" ht="18.5" x14ac:dyDescent="0.45">
      <c r="B2" s="4" t="s">
        <v>10</v>
      </c>
      <c r="C2" s="4"/>
      <c r="D2" s="4"/>
      <c r="E2" s="5" t="s">
        <v>20</v>
      </c>
      <c r="F2" s="5"/>
      <c r="H2" s="4" t="s">
        <v>10</v>
      </c>
      <c r="I2" s="4"/>
      <c r="J2" s="4"/>
      <c r="K2" s="5" t="s">
        <v>21</v>
      </c>
      <c r="L2" s="5"/>
      <c r="N2" s="4" t="s">
        <v>10</v>
      </c>
      <c r="O2" s="4"/>
      <c r="P2" s="4"/>
      <c r="Q2" s="5" t="s">
        <v>27</v>
      </c>
      <c r="R2" s="5"/>
      <c r="T2" s="4" t="s">
        <v>10</v>
      </c>
      <c r="U2" s="4"/>
      <c r="V2" s="4"/>
      <c r="W2" s="5" t="s">
        <v>32</v>
      </c>
      <c r="X2" s="5"/>
      <c r="Z2" s="4" t="s">
        <v>10</v>
      </c>
      <c r="AA2" s="4"/>
      <c r="AB2" s="4"/>
      <c r="AC2" s="5" t="s">
        <v>36</v>
      </c>
      <c r="AD2" s="5"/>
      <c r="AF2" s="4" t="s">
        <v>10</v>
      </c>
      <c r="AG2" s="4"/>
      <c r="AH2" s="4"/>
      <c r="AI2" s="5" t="s">
        <v>37</v>
      </c>
      <c r="AJ2" s="5"/>
      <c r="AL2" s="4" t="s">
        <v>10</v>
      </c>
      <c r="AM2" s="4"/>
      <c r="AN2" s="4"/>
      <c r="AO2" s="5" t="s">
        <v>38</v>
      </c>
      <c r="AP2" s="5"/>
      <c r="AR2" s="4" t="s">
        <v>10</v>
      </c>
      <c r="AS2" s="4"/>
      <c r="AT2" s="4"/>
      <c r="AU2" s="5" t="s">
        <v>39</v>
      </c>
      <c r="AV2" s="5"/>
      <c r="AX2" s="4" t="s">
        <v>10</v>
      </c>
      <c r="AY2" s="4"/>
      <c r="AZ2" s="4"/>
      <c r="BA2" s="5" t="s">
        <v>41</v>
      </c>
      <c r="BB2" s="5"/>
      <c r="BD2" s="4" t="s">
        <v>10</v>
      </c>
      <c r="BE2" s="4"/>
      <c r="BF2" s="4"/>
      <c r="BG2" s="5" t="s">
        <v>42</v>
      </c>
      <c r="BH2" s="5"/>
      <c r="BJ2" s="4" t="s">
        <v>10</v>
      </c>
      <c r="BK2" s="4"/>
      <c r="BL2" s="4"/>
      <c r="BM2" s="5" t="s">
        <v>43</v>
      </c>
      <c r="BN2" s="5"/>
      <c r="BP2" s="4" t="s">
        <v>10</v>
      </c>
      <c r="BQ2" s="4"/>
      <c r="BR2" s="4"/>
      <c r="BS2" s="5" t="s">
        <v>44</v>
      </c>
      <c r="BT2" s="5"/>
    </row>
    <row r="3" spans="2:72" ht="18.5" x14ac:dyDescent="0.45">
      <c r="B3" s="4" t="s">
        <v>16</v>
      </c>
      <c r="C3" s="4"/>
      <c r="D3" s="4"/>
      <c r="E3" s="5"/>
      <c r="F3" s="5"/>
      <c r="H3" s="4" t="s">
        <v>16</v>
      </c>
      <c r="I3" s="4"/>
      <c r="J3" s="4"/>
      <c r="K3" s="5"/>
      <c r="L3" s="5"/>
      <c r="N3" s="4" t="s">
        <v>16</v>
      </c>
      <c r="O3" s="4"/>
      <c r="P3" s="4"/>
      <c r="Q3" s="5"/>
      <c r="R3" s="5"/>
      <c r="T3" s="4" t="s">
        <v>16</v>
      </c>
      <c r="U3" s="4"/>
      <c r="V3" s="4"/>
      <c r="W3" s="5"/>
      <c r="X3" s="5"/>
      <c r="Z3" s="4" t="s">
        <v>16</v>
      </c>
      <c r="AA3" s="4"/>
      <c r="AB3" s="4"/>
      <c r="AC3" s="5"/>
      <c r="AD3" s="5"/>
      <c r="AF3" s="4" t="s">
        <v>16</v>
      </c>
      <c r="AG3" s="4"/>
      <c r="AH3" s="4"/>
      <c r="AI3" s="5"/>
      <c r="AJ3" s="5"/>
      <c r="AL3" s="4" t="s">
        <v>16</v>
      </c>
      <c r="AM3" s="4"/>
      <c r="AN3" s="4"/>
      <c r="AO3" s="5"/>
      <c r="AP3" s="5"/>
      <c r="AR3" s="4" t="s">
        <v>16</v>
      </c>
      <c r="AS3" s="4"/>
      <c r="AT3" s="4"/>
      <c r="AU3" s="5"/>
      <c r="AV3" s="5"/>
      <c r="AX3" s="4" t="s">
        <v>16</v>
      </c>
      <c r="AY3" s="4"/>
      <c r="AZ3" s="4"/>
      <c r="BA3" s="5"/>
      <c r="BB3" s="5"/>
      <c r="BD3" s="4" t="s">
        <v>16</v>
      </c>
      <c r="BE3" s="4"/>
      <c r="BF3" s="4"/>
      <c r="BG3" s="5"/>
      <c r="BH3" s="5"/>
      <c r="BJ3" s="4" t="s">
        <v>16</v>
      </c>
      <c r="BK3" s="4"/>
      <c r="BL3" s="4"/>
      <c r="BM3" s="5"/>
      <c r="BN3" s="5"/>
      <c r="BP3" s="4" t="s">
        <v>16</v>
      </c>
      <c r="BQ3" s="4"/>
      <c r="BR3" s="4"/>
      <c r="BS3" s="5"/>
      <c r="BT3" s="5"/>
    </row>
    <row r="4" spans="2:72" x14ac:dyDescent="0.35">
      <c r="B4" t="s">
        <v>11</v>
      </c>
      <c r="C4" t="s">
        <v>12</v>
      </c>
      <c r="D4" t="s">
        <v>13</v>
      </c>
      <c r="E4" s="3" t="s">
        <v>40</v>
      </c>
      <c r="F4" s="3" t="s">
        <v>14</v>
      </c>
      <c r="H4" t="s">
        <v>11</v>
      </c>
      <c r="I4" t="s">
        <v>12</v>
      </c>
      <c r="J4" t="s">
        <v>13</v>
      </c>
      <c r="K4" s="3" t="s">
        <v>40</v>
      </c>
      <c r="L4" t="s">
        <v>14</v>
      </c>
      <c r="N4" t="s">
        <v>11</v>
      </c>
      <c r="O4" t="s">
        <v>12</v>
      </c>
      <c r="P4" t="s">
        <v>13</v>
      </c>
      <c r="Q4" s="3" t="s">
        <v>40</v>
      </c>
      <c r="R4" t="s">
        <v>14</v>
      </c>
      <c r="T4" t="s">
        <v>11</v>
      </c>
      <c r="U4" t="s">
        <v>12</v>
      </c>
      <c r="V4" t="s">
        <v>13</v>
      </c>
      <c r="W4" s="3" t="s">
        <v>40</v>
      </c>
      <c r="X4" s="6" t="s">
        <v>14</v>
      </c>
      <c r="Z4" t="s">
        <v>11</v>
      </c>
      <c r="AA4" t="s">
        <v>12</v>
      </c>
      <c r="AB4" t="s">
        <v>13</v>
      </c>
      <c r="AC4" s="3" t="s">
        <v>40</v>
      </c>
      <c r="AD4" s="3" t="s">
        <v>14</v>
      </c>
      <c r="AF4" t="s">
        <v>11</v>
      </c>
      <c r="AG4" t="s">
        <v>12</v>
      </c>
      <c r="AH4" t="s">
        <v>13</v>
      </c>
      <c r="AI4" s="3" t="s">
        <v>40</v>
      </c>
      <c r="AJ4" t="s">
        <v>14</v>
      </c>
      <c r="AL4" t="s">
        <v>11</v>
      </c>
      <c r="AM4" t="s">
        <v>12</v>
      </c>
      <c r="AN4" t="s">
        <v>13</v>
      </c>
      <c r="AO4" s="3" t="s">
        <v>40</v>
      </c>
      <c r="AP4" t="s">
        <v>14</v>
      </c>
      <c r="AR4" t="s">
        <v>11</v>
      </c>
      <c r="AS4" t="s">
        <v>12</v>
      </c>
      <c r="AT4" t="s">
        <v>13</v>
      </c>
      <c r="AU4" s="3" t="s">
        <v>40</v>
      </c>
      <c r="AV4" s="6" t="s">
        <v>14</v>
      </c>
      <c r="AX4" t="s">
        <v>11</v>
      </c>
      <c r="AY4" t="s">
        <v>12</v>
      </c>
      <c r="AZ4" t="s">
        <v>13</v>
      </c>
      <c r="BA4" s="3" t="s">
        <v>40</v>
      </c>
      <c r="BB4" s="3" t="s">
        <v>14</v>
      </c>
      <c r="BD4" t="s">
        <v>11</v>
      </c>
      <c r="BE4" t="s">
        <v>12</v>
      </c>
      <c r="BF4" t="s">
        <v>13</v>
      </c>
      <c r="BG4" s="3" t="s">
        <v>40</v>
      </c>
      <c r="BH4" t="s">
        <v>14</v>
      </c>
      <c r="BJ4" t="s">
        <v>11</v>
      </c>
      <c r="BK4" t="s">
        <v>12</v>
      </c>
      <c r="BL4" t="s">
        <v>13</v>
      </c>
      <c r="BM4" s="3" t="s">
        <v>40</v>
      </c>
      <c r="BN4" t="s">
        <v>14</v>
      </c>
      <c r="BP4" t="s">
        <v>11</v>
      </c>
      <c r="BQ4" t="s">
        <v>12</v>
      </c>
      <c r="BR4" t="s">
        <v>13</v>
      </c>
      <c r="BS4" s="3" t="s">
        <v>40</v>
      </c>
      <c r="BT4" s="6" t="s">
        <v>14</v>
      </c>
    </row>
    <row r="5" spans="2:72" x14ac:dyDescent="0.35">
      <c r="B5" s="2">
        <v>46042</v>
      </c>
      <c r="C5" t="s">
        <v>13</v>
      </c>
      <c r="D5" s="3">
        <v>500000</v>
      </c>
      <c r="E5" s="3">
        <v>0</v>
      </c>
      <c r="F5" s="3">
        <f>Table2[[#This Row],[DEPOSIT]]-Table2[[#This Row],[EXPENSE]]</f>
        <v>500000</v>
      </c>
      <c r="I5" t="s">
        <v>22</v>
      </c>
      <c r="J5" s="3">
        <f>F15</f>
        <v>23300</v>
      </c>
      <c r="L5" s="3">
        <f>Table4[[#This Row],[DEPOSIT]]-Table4[[#This Row],[EXPENSE]]</f>
        <v>23300</v>
      </c>
      <c r="O5" t="s">
        <v>22</v>
      </c>
      <c r="P5" s="7">
        <f>L18</f>
        <v>6476</v>
      </c>
      <c r="Q5" s="6"/>
      <c r="R5" s="3">
        <f>Table44[[#This Row],[DEPOSIT]]-Table44[[#This Row],[EXPENSE]]</f>
        <v>6476</v>
      </c>
      <c r="T5" s="2">
        <v>46113</v>
      </c>
      <c r="U5" t="s">
        <v>22</v>
      </c>
      <c r="V5" s="3">
        <f>R30</f>
        <v>338474</v>
      </c>
      <c r="X5" s="6">
        <f>Table6[[#This Row],[DEPOSIT]]-Table6[[#This Row],[EXPENSE]]</f>
        <v>338474</v>
      </c>
      <c r="Z5" s="2">
        <v>46143</v>
      </c>
      <c r="AA5" t="s">
        <v>22</v>
      </c>
      <c r="AB5" s="3">
        <f>X30</f>
        <v>397724</v>
      </c>
      <c r="AC5" s="3">
        <v>0</v>
      </c>
      <c r="AD5" s="3">
        <f>Table26[[#This Row],[DEPOSIT]]-Table26[[#This Row],[EXPENSE]]</f>
        <v>397724</v>
      </c>
      <c r="AF5" s="2">
        <v>46174</v>
      </c>
      <c r="AG5" t="s">
        <v>22</v>
      </c>
      <c r="AH5" s="3">
        <f>AD30</f>
        <v>397724</v>
      </c>
      <c r="AJ5" s="3">
        <f>Table48[[#This Row],[DEPOSIT]]-Table48[[#This Row],[EXPENSE]]</f>
        <v>397724</v>
      </c>
      <c r="AL5" s="2">
        <v>46204</v>
      </c>
      <c r="AM5" t="s">
        <v>22</v>
      </c>
      <c r="AN5" s="7">
        <f>AJ30</f>
        <v>397724</v>
      </c>
      <c r="AO5" s="6"/>
      <c r="AP5" s="3">
        <f>Table449[[#This Row],[DEPOSIT]]-Table449[[#This Row],[EXPENSE]]</f>
        <v>397724</v>
      </c>
      <c r="AR5" s="2">
        <v>46235</v>
      </c>
      <c r="AS5" t="s">
        <v>22</v>
      </c>
      <c r="AT5" s="3">
        <f>AP30</f>
        <v>397724</v>
      </c>
      <c r="AV5" s="6">
        <f>Table610[[#This Row],[DEPOSIT]]-Table610[[#This Row],[EXPENSE]]</f>
        <v>397724</v>
      </c>
      <c r="AX5" s="2">
        <v>46266</v>
      </c>
      <c r="AY5" t="s">
        <v>22</v>
      </c>
      <c r="AZ5" s="3">
        <f>AV30</f>
        <v>397724</v>
      </c>
      <c r="BA5" s="3">
        <v>0</v>
      </c>
      <c r="BB5" s="3">
        <f>Table2611[[#This Row],[DEPOSIT]]-Table2611[[#This Row],[EXPENSE]]</f>
        <v>397724</v>
      </c>
      <c r="BD5" s="2">
        <v>46296</v>
      </c>
      <c r="BE5" t="s">
        <v>22</v>
      </c>
      <c r="BF5" s="3">
        <f>BB30</f>
        <v>397724</v>
      </c>
      <c r="BH5" s="3">
        <f>Table4812[[#This Row],[DEPOSIT]]-Table4812[[#This Row],[EXPENSE]]</f>
        <v>397724</v>
      </c>
      <c r="BJ5" s="2">
        <v>46327</v>
      </c>
      <c r="BK5" t="s">
        <v>22</v>
      </c>
      <c r="BL5" s="7">
        <f>BH30</f>
        <v>397724</v>
      </c>
      <c r="BM5" s="6"/>
      <c r="BN5" s="3">
        <f>Table44913[[#This Row],[DEPOSIT]]-Table44913[[#This Row],[EXPENSE]]</f>
        <v>397724</v>
      </c>
      <c r="BP5" s="2">
        <v>46357</v>
      </c>
      <c r="BQ5" t="s">
        <v>22</v>
      </c>
      <c r="BR5" s="3">
        <f>BN30</f>
        <v>397724</v>
      </c>
      <c r="BT5" s="6">
        <f>Table61014[[#This Row],[DEPOSIT]]-Table61014[[#This Row],[EXPENSE]]</f>
        <v>397724</v>
      </c>
    </row>
    <row r="6" spans="2:72" x14ac:dyDescent="0.35">
      <c r="B6" s="2">
        <v>46042</v>
      </c>
      <c r="C6" t="s">
        <v>15</v>
      </c>
      <c r="E6" s="3">
        <v>40000</v>
      </c>
      <c r="F6" s="3">
        <f>F5+Table2[[#This Row],[DEPOSIT]]-Table2[[#This Row],[EXPENSE]]</f>
        <v>460000</v>
      </c>
      <c r="H6" s="2">
        <v>46064</v>
      </c>
      <c r="I6" t="s">
        <v>13</v>
      </c>
      <c r="J6" s="6">
        <v>450000</v>
      </c>
      <c r="K6" s="6">
        <v>0</v>
      </c>
      <c r="L6" s="3">
        <f>L5+Table4[[#This Row],[DEPOSIT]]-Table4[[#This Row],[EXPENSE]]</f>
        <v>473300</v>
      </c>
      <c r="N6" s="2">
        <v>46085</v>
      </c>
      <c r="O6" t="s">
        <v>13</v>
      </c>
      <c r="P6" s="7">
        <v>500000</v>
      </c>
      <c r="Q6" s="8">
        <v>0</v>
      </c>
      <c r="R6" s="3">
        <f>R5+Table44[[#This Row],[DEPOSIT]]-Table44[[#This Row],[EXPENSE]]</f>
        <v>506476</v>
      </c>
      <c r="T6" s="2">
        <v>46113</v>
      </c>
      <c r="U6" t="s">
        <v>33</v>
      </c>
      <c r="V6" s="3">
        <v>0</v>
      </c>
      <c r="W6" s="6">
        <v>100000</v>
      </c>
      <c r="X6" s="6">
        <f>X5+Table6[[#This Row],[DEPOSIT]]-Table6[[#This Row],[EXPENSE]]</f>
        <v>238474</v>
      </c>
      <c r="AB6" s="8">
        <v>0</v>
      </c>
      <c r="AD6" s="3">
        <f>AD5+Table26[[#This Row],[DEPOSIT]]-Table26[[#This Row],[EXPENSE]]</f>
        <v>397724</v>
      </c>
      <c r="AH6" s="8">
        <v>0</v>
      </c>
      <c r="AJ6" s="3">
        <f>AJ5+Table48[[#This Row],[DEPOSIT]]-Table48[[#This Row],[EXPENSE]]</f>
        <v>397724</v>
      </c>
      <c r="AL6" s="2"/>
      <c r="AN6" s="8">
        <v>0</v>
      </c>
      <c r="AO6" s="8">
        <v>0</v>
      </c>
      <c r="AP6" s="3">
        <f>AP5+Table449[[#This Row],[DEPOSIT]]-Table449[[#This Row],[EXPENSE]]</f>
        <v>397724</v>
      </c>
      <c r="AT6" s="8">
        <v>0</v>
      </c>
      <c r="AV6" s="6">
        <f>AV5+Table610[[#This Row],[DEPOSIT]]-Table610[[#This Row],[EXPENSE]]</f>
        <v>397724</v>
      </c>
      <c r="AZ6" s="8">
        <v>0</v>
      </c>
      <c r="BB6" s="3">
        <f>BB5+Table2611[[#This Row],[DEPOSIT]]-Table2611[[#This Row],[EXPENSE]]</f>
        <v>397724</v>
      </c>
      <c r="BF6" s="8">
        <v>0</v>
      </c>
      <c r="BH6" s="3">
        <f>BH5+Table4812[[#This Row],[DEPOSIT]]-Table4812[[#This Row],[EXPENSE]]</f>
        <v>397724</v>
      </c>
      <c r="BJ6" s="2"/>
      <c r="BL6" s="8">
        <v>0</v>
      </c>
      <c r="BM6" s="8">
        <v>0</v>
      </c>
      <c r="BN6" s="3">
        <f>BN5+Table44913[[#This Row],[DEPOSIT]]-Table44913[[#This Row],[EXPENSE]]</f>
        <v>397724</v>
      </c>
      <c r="BR6" s="8">
        <v>0</v>
      </c>
      <c r="BT6" s="6">
        <f>BT5+Table61014[[#This Row],[DEPOSIT]]-Table61014[[#This Row],[EXPENSE]]</f>
        <v>397724</v>
      </c>
    </row>
    <row r="7" spans="2:72" x14ac:dyDescent="0.35">
      <c r="B7" s="2">
        <v>46045</v>
      </c>
      <c r="C7" t="s">
        <v>17</v>
      </c>
      <c r="E7" s="3">
        <v>110700</v>
      </c>
      <c r="F7" s="3">
        <f>F6+Table2[[#This Row],[DEPOSIT]]-Table2[[#This Row],[EXPENSE]]</f>
        <v>349300</v>
      </c>
      <c r="H7" s="2">
        <v>46070</v>
      </c>
      <c r="I7" t="s">
        <v>23</v>
      </c>
      <c r="K7" s="6">
        <v>40000</v>
      </c>
      <c r="L7" s="3">
        <f>L6+Table4[[#This Row],[DEPOSIT]]-Table4[[#This Row],[EXPENSE]]</f>
        <v>433300</v>
      </c>
      <c r="N7" s="2">
        <v>46085</v>
      </c>
      <c r="O7" t="s">
        <v>25</v>
      </c>
      <c r="P7" s="7"/>
      <c r="Q7" s="6">
        <v>35000</v>
      </c>
      <c r="R7" s="3">
        <f>R6+Table44[[#This Row],[DEPOSIT]]-Table44[[#This Row],[EXPENSE]]</f>
        <v>471476</v>
      </c>
      <c r="T7" s="2">
        <v>46113</v>
      </c>
      <c r="U7" t="s">
        <v>34</v>
      </c>
      <c r="V7" s="3">
        <v>0</v>
      </c>
      <c r="W7" s="6">
        <v>50000</v>
      </c>
      <c r="X7" s="6">
        <f>X6+Table6[[#This Row],[DEPOSIT]]-Table6[[#This Row],[EXPENSE]]</f>
        <v>188474</v>
      </c>
      <c r="AB7" s="8">
        <v>0</v>
      </c>
      <c r="AD7" s="3">
        <f>AD6+Table26[[#This Row],[DEPOSIT]]-Table26[[#This Row],[EXPENSE]]</f>
        <v>397724</v>
      </c>
      <c r="AH7" s="8">
        <v>0</v>
      </c>
      <c r="AJ7" s="3">
        <f>AJ6+Table48[[#This Row],[DEPOSIT]]-Table48[[#This Row],[EXPENSE]]</f>
        <v>397724</v>
      </c>
      <c r="AL7" s="2"/>
      <c r="AN7" s="8">
        <v>0</v>
      </c>
      <c r="AO7" s="8">
        <v>0</v>
      </c>
      <c r="AP7" s="3">
        <f>AP6+Table449[[#This Row],[DEPOSIT]]-Table449[[#This Row],[EXPENSE]]</f>
        <v>397724</v>
      </c>
      <c r="AT7" s="8">
        <v>0</v>
      </c>
      <c r="AV7" s="6">
        <f>AV6+Table610[[#This Row],[DEPOSIT]]-Table610[[#This Row],[EXPENSE]]</f>
        <v>397724</v>
      </c>
      <c r="AZ7" s="8">
        <v>0</v>
      </c>
      <c r="BB7" s="3">
        <f>BB6+Table2611[[#This Row],[DEPOSIT]]-Table2611[[#This Row],[EXPENSE]]</f>
        <v>397724</v>
      </c>
      <c r="BF7" s="8">
        <v>0</v>
      </c>
      <c r="BH7" s="3">
        <f>BH6+Table4812[[#This Row],[DEPOSIT]]-Table4812[[#This Row],[EXPENSE]]</f>
        <v>397724</v>
      </c>
      <c r="BJ7" s="2"/>
      <c r="BL7" s="8">
        <v>0</v>
      </c>
      <c r="BM7" s="8">
        <v>0</v>
      </c>
      <c r="BN7" s="3">
        <f>BN6+Table44913[[#This Row],[DEPOSIT]]-Table44913[[#This Row],[EXPENSE]]</f>
        <v>397724</v>
      </c>
      <c r="BR7" s="8">
        <v>0</v>
      </c>
      <c r="BT7" s="6">
        <f>BT6+Table61014[[#This Row],[DEPOSIT]]-Table61014[[#This Row],[EXPENSE]]</f>
        <v>397724</v>
      </c>
    </row>
    <row r="8" spans="2:72" x14ac:dyDescent="0.35">
      <c r="B8" s="2">
        <v>46048</v>
      </c>
      <c r="C8" t="s">
        <v>19</v>
      </c>
      <c r="E8" s="3">
        <v>50000</v>
      </c>
      <c r="F8" s="3">
        <f>F7+Table2[[#This Row],[DEPOSIT]]-Table2[[#This Row],[EXPENSE]]</f>
        <v>299300</v>
      </c>
      <c r="H8" s="2">
        <v>46070</v>
      </c>
      <c r="I8" t="s">
        <v>23</v>
      </c>
      <c r="K8" s="6">
        <v>30000</v>
      </c>
      <c r="L8" s="3">
        <f>L7+Table4[[#This Row],[DEPOSIT]]-Table4[[#This Row],[EXPENSE]]</f>
        <v>403300</v>
      </c>
      <c r="N8" s="2">
        <v>46088</v>
      </c>
      <c r="O8" t="s">
        <v>26</v>
      </c>
      <c r="P8" s="7"/>
      <c r="Q8" s="6">
        <v>40000</v>
      </c>
      <c r="R8" s="3">
        <f>R7+Table44[[#This Row],[DEPOSIT]]-Table44[[#This Row],[EXPENSE]]</f>
        <v>431476</v>
      </c>
      <c r="T8" s="2">
        <v>46114</v>
      </c>
      <c r="U8" t="s">
        <v>13</v>
      </c>
      <c r="V8" s="6">
        <v>1000000</v>
      </c>
      <c r="W8" s="6">
        <v>0</v>
      </c>
      <c r="X8" s="6">
        <f>X7+Table6[[#This Row],[DEPOSIT]]-Table6[[#This Row],[EXPENSE]]</f>
        <v>1188474</v>
      </c>
      <c r="AB8" s="8">
        <v>0</v>
      </c>
      <c r="AD8" s="3">
        <f>AD7+Table26[[#This Row],[DEPOSIT]]-Table26[[#This Row],[EXPENSE]]</f>
        <v>397724</v>
      </c>
      <c r="AH8" s="8">
        <v>0</v>
      </c>
      <c r="AJ8" s="3">
        <f>AJ7+Table48[[#This Row],[DEPOSIT]]-Table48[[#This Row],[EXPENSE]]</f>
        <v>397724</v>
      </c>
      <c r="AL8" s="2"/>
      <c r="AN8" s="8">
        <v>0</v>
      </c>
      <c r="AO8" s="8">
        <v>0</v>
      </c>
      <c r="AP8" s="3">
        <f>AP7+Table449[[#This Row],[DEPOSIT]]-Table449[[#This Row],[EXPENSE]]</f>
        <v>397724</v>
      </c>
      <c r="AT8" s="8">
        <v>0</v>
      </c>
      <c r="AV8" s="6">
        <f>AV7+Table610[[#This Row],[DEPOSIT]]-Table610[[#This Row],[EXPENSE]]</f>
        <v>397724</v>
      </c>
      <c r="AZ8" s="8">
        <v>0</v>
      </c>
      <c r="BB8" s="3">
        <f>BB7+Table2611[[#This Row],[DEPOSIT]]-Table2611[[#This Row],[EXPENSE]]</f>
        <v>397724</v>
      </c>
      <c r="BF8" s="8">
        <v>0</v>
      </c>
      <c r="BH8" s="3">
        <f>BH7+Table4812[[#This Row],[DEPOSIT]]-Table4812[[#This Row],[EXPENSE]]</f>
        <v>397724</v>
      </c>
      <c r="BJ8" s="2"/>
      <c r="BL8" s="8">
        <v>0</v>
      </c>
      <c r="BM8" s="8">
        <v>0</v>
      </c>
      <c r="BN8" s="3">
        <f>BN7+Table44913[[#This Row],[DEPOSIT]]-Table44913[[#This Row],[EXPENSE]]</f>
        <v>397724</v>
      </c>
      <c r="BR8" s="8">
        <v>0</v>
      </c>
      <c r="BT8" s="6">
        <f>BT7+Table61014[[#This Row],[DEPOSIT]]-Table61014[[#This Row],[EXPENSE]]</f>
        <v>397724</v>
      </c>
    </row>
    <row r="9" spans="2:72" x14ac:dyDescent="0.35">
      <c r="B9" s="2">
        <v>46051</v>
      </c>
      <c r="C9" t="s">
        <v>18</v>
      </c>
      <c r="E9" s="3">
        <v>66000</v>
      </c>
      <c r="F9" s="3">
        <f>F8+Table2[[#This Row],[DEPOSIT]]-Table2[[#This Row],[EXPENSE]]</f>
        <v>233300</v>
      </c>
      <c r="H9" s="2">
        <v>46072</v>
      </c>
      <c r="I9" t="s">
        <v>23</v>
      </c>
      <c r="K9" s="6">
        <v>30000</v>
      </c>
      <c r="L9" s="3">
        <f>L8+Table4[[#This Row],[DEPOSIT]]-Table4[[#This Row],[EXPENSE]]</f>
        <v>373300</v>
      </c>
      <c r="N9" s="2">
        <v>46090</v>
      </c>
      <c r="O9" t="s">
        <v>26</v>
      </c>
      <c r="P9" s="7"/>
      <c r="Q9" s="6">
        <v>40000</v>
      </c>
      <c r="R9" s="3">
        <f>R8+Table44[[#This Row],[DEPOSIT]]-Table44[[#This Row],[EXPENSE]]</f>
        <v>391476</v>
      </c>
      <c r="T9" s="2">
        <v>46114</v>
      </c>
      <c r="U9" t="s">
        <v>34</v>
      </c>
      <c r="V9" s="8">
        <v>0</v>
      </c>
      <c r="W9" s="6">
        <v>60000</v>
      </c>
      <c r="X9" s="6">
        <f>X8+Table6[[#This Row],[DEPOSIT]]-Table6[[#This Row],[EXPENSE]]</f>
        <v>1128474</v>
      </c>
      <c r="AB9" s="8">
        <v>0</v>
      </c>
      <c r="AD9" s="3">
        <f>AD8+Table26[[#This Row],[DEPOSIT]]-Table26[[#This Row],[EXPENSE]]</f>
        <v>397724</v>
      </c>
      <c r="AH9" s="8">
        <v>0</v>
      </c>
      <c r="AJ9" s="3">
        <f>AJ8+Table48[[#This Row],[DEPOSIT]]-Table48[[#This Row],[EXPENSE]]</f>
        <v>397724</v>
      </c>
      <c r="AL9" s="2"/>
      <c r="AN9" s="8">
        <v>0</v>
      </c>
      <c r="AO9" s="8">
        <v>0</v>
      </c>
      <c r="AP9" s="3">
        <f>AP8+Table449[[#This Row],[DEPOSIT]]-Table449[[#This Row],[EXPENSE]]</f>
        <v>397724</v>
      </c>
      <c r="AT9" s="8">
        <v>0</v>
      </c>
      <c r="AV9" s="6">
        <f>AV8+Table610[[#This Row],[DEPOSIT]]-Table610[[#This Row],[EXPENSE]]</f>
        <v>397724</v>
      </c>
      <c r="AZ9" s="8">
        <v>0</v>
      </c>
      <c r="BB9" s="3">
        <f>BB8+Table2611[[#This Row],[DEPOSIT]]-Table2611[[#This Row],[EXPENSE]]</f>
        <v>397724</v>
      </c>
      <c r="BF9" s="8">
        <v>0</v>
      </c>
      <c r="BH9" s="3">
        <f>BH8+Table4812[[#This Row],[DEPOSIT]]-Table4812[[#This Row],[EXPENSE]]</f>
        <v>397724</v>
      </c>
      <c r="BJ9" s="2"/>
      <c r="BL9" s="8">
        <v>0</v>
      </c>
      <c r="BM9" s="8">
        <v>0</v>
      </c>
      <c r="BN9" s="3">
        <f>BN8+Table44913[[#This Row],[DEPOSIT]]-Table44913[[#This Row],[EXPENSE]]</f>
        <v>397724</v>
      </c>
      <c r="BR9" s="8">
        <v>0</v>
      </c>
      <c r="BT9" s="6">
        <f>BT8+Table61014[[#This Row],[DEPOSIT]]-Table61014[[#This Row],[EXPENSE]]</f>
        <v>397724</v>
      </c>
    </row>
    <row r="10" spans="2:72" x14ac:dyDescent="0.35">
      <c r="B10" s="2">
        <v>46052</v>
      </c>
      <c r="C10" t="s">
        <v>19</v>
      </c>
      <c r="E10" s="3">
        <v>50000</v>
      </c>
      <c r="F10" s="3">
        <f>F9+Table2[[#This Row],[DEPOSIT]]-Table2[[#This Row],[EXPENSE]]</f>
        <v>183300</v>
      </c>
      <c r="H10" s="2">
        <v>46076</v>
      </c>
      <c r="I10" t="s">
        <v>15</v>
      </c>
      <c r="K10" s="6">
        <v>30000</v>
      </c>
      <c r="L10" s="3">
        <f>L9+Table4[[#This Row],[DEPOSIT]]-Table4[[#This Row],[EXPENSE]]</f>
        <v>343300</v>
      </c>
      <c r="N10" s="2">
        <v>46092</v>
      </c>
      <c r="O10" t="s">
        <v>25</v>
      </c>
      <c r="P10" s="7"/>
      <c r="Q10" s="6">
        <v>53133</v>
      </c>
      <c r="R10" s="3">
        <f>R9+Table44[[#This Row],[DEPOSIT]]-Table44[[#This Row],[EXPENSE]]</f>
        <v>338343</v>
      </c>
      <c r="T10" s="2">
        <v>46116</v>
      </c>
      <c r="U10" t="s">
        <v>34</v>
      </c>
      <c r="V10" s="8">
        <v>0</v>
      </c>
      <c r="W10" s="6">
        <v>60000</v>
      </c>
      <c r="X10" s="6">
        <f>X9+Table6[[#This Row],[DEPOSIT]]-Table6[[#This Row],[EXPENSE]]</f>
        <v>1068474</v>
      </c>
      <c r="AB10" s="8">
        <v>0</v>
      </c>
      <c r="AD10" s="3">
        <f>AD9+Table26[[#This Row],[DEPOSIT]]-Table26[[#This Row],[EXPENSE]]</f>
        <v>397724</v>
      </c>
      <c r="AH10" s="8">
        <v>0</v>
      </c>
      <c r="AJ10" s="3">
        <f>AJ9+Table48[[#This Row],[DEPOSIT]]-Table48[[#This Row],[EXPENSE]]</f>
        <v>397724</v>
      </c>
      <c r="AL10" s="2"/>
      <c r="AN10" s="8">
        <v>0</v>
      </c>
      <c r="AO10" s="8">
        <v>0</v>
      </c>
      <c r="AP10" s="3">
        <f>AP9+Table449[[#This Row],[DEPOSIT]]-Table449[[#This Row],[EXPENSE]]</f>
        <v>397724</v>
      </c>
      <c r="AT10" s="8">
        <v>0</v>
      </c>
      <c r="AV10" s="6">
        <f>AV9+Table610[[#This Row],[DEPOSIT]]-Table610[[#This Row],[EXPENSE]]</f>
        <v>397724</v>
      </c>
      <c r="AZ10" s="8">
        <v>0</v>
      </c>
      <c r="BB10" s="3">
        <f>BB9+Table2611[[#This Row],[DEPOSIT]]-Table2611[[#This Row],[EXPENSE]]</f>
        <v>397724</v>
      </c>
      <c r="BF10" s="8">
        <v>0</v>
      </c>
      <c r="BH10" s="3">
        <f>BH9+Table4812[[#This Row],[DEPOSIT]]-Table4812[[#This Row],[EXPENSE]]</f>
        <v>397724</v>
      </c>
      <c r="BJ10" s="2"/>
      <c r="BL10" s="8">
        <v>0</v>
      </c>
      <c r="BM10" s="8">
        <v>0</v>
      </c>
      <c r="BN10" s="3">
        <f>BN9+Table44913[[#This Row],[DEPOSIT]]-Table44913[[#This Row],[EXPENSE]]</f>
        <v>397724</v>
      </c>
      <c r="BR10" s="8">
        <v>0</v>
      </c>
      <c r="BT10" s="6">
        <f>BT9+Table61014[[#This Row],[DEPOSIT]]-Table61014[[#This Row],[EXPENSE]]</f>
        <v>397724</v>
      </c>
    </row>
    <row r="11" spans="2:72" x14ac:dyDescent="0.35">
      <c r="B11" s="2">
        <v>46055</v>
      </c>
      <c r="C11" t="s">
        <v>19</v>
      </c>
      <c r="E11" s="3">
        <v>40000</v>
      </c>
      <c r="F11" s="3">
        <f>F10+Table2[[#This Row],[DEPOSIT]]-Table2[[#This Row],[EXPENSE]]</f>
        <v>143300</v>
      </c>
      <c r="H11" s="2">
        <v>46077</v>
      </c>
      <c r="I11" t="s">
        <v>17</v>
      </c>
      <c r="K11" s="6">
        <v>50000</v>
      </c>
      <c r="L11" s="3">
        <f>L10+Table4[[#This Row],[DEPOSIT]]-Table4[[#This Row],[EXPENSE]]</f>
        <v>293300</v>
      </c>
      <c r="N11" s="2">
        <v>46092</v>
      </c>
      <c r="O11" t="s">
        <v>26</v>
      </c>
      <c r="P11" s="7"/>
      <c r="Q11" s="6">
        <v>50000</v>
      </c>
      <c r="R11" s="3">
        <f>R10+Table44[[#This Row],[DEPOSIT]]-Table44[[#This Row],[EXPENSE]]</f>
        <v>288343</v>
      </c>
      <c r="T11" s="2">
        <v>46119</v>
      </c>
      <c r="U11" t="s">
        <v>25</v>
      </c>
      <c r="V11" s="8">
        <v>0</v>
      </c>
      <c r="W11" s="6">
        <v>20000</v>
      </c>
      <c r="X11" s="6">
        <f>X10+Table6[[#This Row],[DEPOSIT]]-Table6[[#This Row],[EXPENSE]]</f>
        <v>1048474</v>
      </c>
      <c r="AB11" s="8">
        <v>0</v>
      </c>
      <c r="AD11" s="3">
        <f>AD10+Table26[[#This Row],[DEPOSIT]]-Table26[[#This Row],[EXPENSE]]</f>
        <v>397724</v>
      </c>
      <c r="AH11" s="8">
        <v>0</v>
      </c>
      <c r="AJ11" s="3">
        <f>AJ10+Table48[[#This Row],[DEPOSIT]]-Table48[[#This Row],[EXPENSE]]</f>
        <v>397724</v>
      </c>
      <c r="AL11" s="2"/>
      <c r="AN11" s="8">
        <v>0</v>
      </c>
      <c r="AO11" s="8">
        <v>0</v>
      </c>
      <c r="AP11" s="3">
        <f>AP10+Table449[[#This Row],[DEPOSIT]]-Table449[[#This Row],[EXPENSE]]</f>
        <v>397724</v>
      </c>
      <c r="AT11" s="8">
        <v>0</v>
      </c>
      <c r="AV11" s="6">
        <f>AV10+Table610[[#This Row],[DEPOSIT]]-Table610[[#This Row],[EXPENSE]]</f>
        <v>397724</v>
      </c>
      <c r="AZ11" s="8">
        <v>0</v>
      </c>
      <c r="BB11" s="3">
        <f>BB10+Table2611[[#This Row],[DEPOSIT]]-Table2611[[#This Row],[EXPENSE]]</f>
        <v>397724</v>
      </c>
      <c r="BF11" s="8">
        <v>0</v>
      </c>
      <c r="BH11" s="3">
        <f>BH10+Table4812[[#This Row],[DEPOSIT]]-Table4812[[#This Row],[EXPENSE]]</f>
        <v>397724</v>
      </c>
      <c r="BJ11" s="2"/>
      <c r="BL11" s="8">
        <v>0</v>
      </c>
      <c r="BM11" s="8">
        <v>0</v>
      </c>
      <c r="BN11" s="3">
        <f>BN10+Table44913[[#This Row],[DEPOSIT]]-Table44913[[#This Row],[EXPENSE]]</f>
        <v>397724</v>
      </c>
      <c r="BR11" s="8">
        <v>0</v>
      </c>
      <c r="BT11" s="6">
        <f>BT10+Table61014[[#This Row],[DEPOSIT]]-Table61014[[#This Row],[EXPENSE]]</f>
        <v>397724</v>
      </c>
    </row>
    <row r="12" spans="2:72" x14ac:dyDescent="0.35">
      <c r="B12" s="2">
        <v>46056</v>
      </c>
      <c r="C12" t="s">
        <v>19</v>
      </c>
      <c r="E12" s="3">
        <v>40000</v>
      </c>
      <c r="F12" s="3">
        <f>F11+Table2[[#This Row],[DEPOSIT]]-Table2[[#This Row],[EXPENSE]]</f>
        <v>103300</v>
      </c>
      <c r="H12" s="2">
        <v>46078</v>
      </c>
      <c r="I12" t="s">
        <v>23</v>
      </c>
      <c r="K12" s="6">
        <v>20000</v>
      </c>
      <c r="L12" s="3">
        <f>L11+Table4[[#This Row],[DEPOSIT]]-Table4[[#This Row],[EXPENSE]]</f>
        <v>273300</v>
      </c>
      <c r="N12" s="2">
        <v>46094</v>
      </c>
      <c r="O12" t="s">
        <v>28</v>
      </c>
      <c r="P12" s="7"/>
      <c r="Q12" s="6">
        <v>72803</v>
      </c>
      <c r="R12" s="3">
        <f>R11+Table44[[#This Row],[DEPOSIT]]-Table44[[#This Row],[EXPENSE]]</f>
        <v>215540</v>
      </c>
      <c r="T12" s="2">
        <v>46119</v>
      </c>
      <c r="U12" t="s">
        <v>34</v>
      </c>
      <c r="V12" s="8">
        <v>0</v>
      </c>
      <c r="W12" s="6">
        <v>50000</v>
      </c>
      <c r="X12" s="6">
        <f>X11+Table6[[#This Row],[DEPOSIT]]-Table6[[#This Row],[EXPENSE]]</f>
        <v>998474</v>
      </c>
      <c r="AB12" s="8">
        <v>0</v>
      </c>
      <c r="AD12" s="3">
        <f>AD11+Table26[[#This Row],[DEPOSIT]]-Table26[[#This Row],[EXPENSE]]</f>
        <v>397724</v>
      </c>
      <c r="AH12" s="8">
        <v>0</v>
      </c>
      <c r="AJ12" s="3">
        <f>AJ11+Table48[[#This Row],[DEPOSIT]]-Table48[[#This Row],[EXPENSE]]</f>
        <v>397724</v>
      </c>
      <c r="AL12" s="2"/>
      <c r="AN12" s="8">
        <v>0</v>
      </c>
      <c r="AO12" s="8">
        <v>0</v>
      </c>
      <c r="AP12" s="3">
        <f>AP11+Table449[[#This Row],[DEPOSIT]]-Table449[[#This Row],[EXPENSE]]</f>
        <v>397724</v>
      </c>
      <c r="AT12" s="8">
        <v>0</v>
      </c>
      <c r="AV12" s="6">
        <f>AV11+Table610[[#This Row],[DEPOSIT]]-Table610[[#This Row],[EXPENSE]]</f>
        <v>397724</v>
      </c>
      <c r="AZ12" s="8">
        <v>0</v>
      </c>
      <c r="BB12" s="3">
        <f>BB11+Table2611[[#This Row],[DEPOSIT]]-Table2611[[#This Row],[EXPENSE]]</f>
        <v>397724</v>
      </c>
      <c r="BF12" s="8">
        <v>0</v>
      </c>
      <c r="BH12" s="3">
        <f>BH11+Table4812[[#This Row],[DEPOSIT]]-Table4812[[#This Row],[EXPENSE]]</f>
        <v>397724</v>
      </c>
      <c r="BJ12" s="2"/>
      <c r="BL12" s="8">
        <v>0</v>
      </c>
      <c r="BM12" s="8">
        <v>0</v>
      </c>
      <c r="BN12" s="3">
        <f>BN11+Table44913[[#This Row],[DEPOSIT]]-Table44913[[#This Row],[EXPENSE]]</f>
        <v>397724</v>
      </c>
      <c r="BR12" s="8">
        <v>0</v>
      </c>
      <c r="BT12" s="6">
        <f>BT11+Table61014[[#This Row],[DEPOSIT]]-Table61014[[#This Row],[EXPENSE]]</f>
        <v>397724</v>
      </c>
    </row>
    <row r="13" spans="2:72" x14ac:dyDescent="0.35">
      <c r="B13" s="2">
        <v>46057</v>
      </c>
      <c r="C13" t="s">
        <v>15</v>
      </c>
      <c r="E13" s="3">
        <v>20000</v>
      </c>
      <c r="F13" s="3">
        <f>F12+Table2[[#This Row],[DEPOSIT]]-Table2[[#This Row],[EXPENSE]]</f>
        <v>83300</v>
      </c>
      <c r="H13" s="2">
        <v>46079</v>
      </c>
      <c r="I13" t="s">
        <v>15</v>
      </c>
      <c r="K13" s="6">
        <v>48000</v>
      </c>
      <c r="L13" s="3">
        <f>L12+Table4[[#This Row],[DEPOSIT]]-Table4[[#This Row],[EXPENSE]]</f>
        <v>225300</v>
      </c>
      <c r="N13" s="2">
        <v>46094</v>
      </c>
      <c r="O13" t="s">
        <v>25</v>
      </c>
      <c r="P13" s="7"/>
      <c r="Q13" s="6">
        <v>96186</v>
      </c>
      <c r="R13" s="3">
        <f>R12+Table44[[#This Row],[DEPOSIT]]-Table44[[#This Row],[EXPENSE]]</f>
        <v>119354</v>
      </c>
      <c r="T13" s="2">
        <v>46119</v>
      </c>
      <c r="U13" t="s">
        <v>25</v>
      </c>
      <c r="V13" s="8">
        <v>0</v>
      </c>
      <c r="W13" s="6">
        <v>30000</v>
      </c>
      <c r="X13" s="6">
        <f>X12+Table6[[#This Row],[DEPOSIT]]-Table6[[#This Row],[EXPENSE]]</f>
        <v>968474</v>
      </c>
      <c r="AB13" s="8">
        <v>0</v>
      </c>
      <c r="AD13" s="3">
        <f>AD12+Table26[[#This Row],[DEPOSIT]]-Table26[[#This Row],[EXPENSE]]</f>
        <v>397724</v>
      </c>
      <c r="AH13" s="8">
        <v>0</v>
      </c>
      <c r="AJ13" s="3">
        <f>AJ12+Table48[[#This Row],[DEPOSIT]]-Table48[[#This Row],[EXPENSE]]</f>
        <v>397724</v>
      </c>
      <c r="AL13" s="2"/>
      <c r="AN13" s="8">
        <v>0</v>
      </c>
      <c r="AO13" s="8">
        <v>0</v>
      </c>
      <c r="AP13" s="3">
        <f>AP12+Table449[[#This Row],[DEPOSIT]]-Table449[[#This Row],[EXPENSE]]</f>
        <v>397724</v>
      </c>
      <c r="AT13" s="8">
        <v>0</v>
      </c>
      <c r="AV13" s="6">
        <f>AV12+Table610[[#This Row],[DEPOSIT]]-Table610[[#This Row],[EXPENSE]]</f>
        <v>397724</v>
      </c>
      <c r="AZ13" s="8">
        <v>0</v>
      </c>
      <c r="BB13" s="3">
        <f>BB12+Table2611[[#This Row],[DEPOSIT]]-Table2611[[#This Row],[EXPENSE]]</f>
        <v>397724</v>
      </c>
      <c r="BF13" s="8">
        <v>0</v>
      </c>
      <c r="BH13" s="3">
        <f>BH12+Table4812[[#This Row],[DEPOSIT]]-Table4812[[#This Row],[EXPENSE]]</f>
        <v>397724</v>
      </c>
      <c r="BJ13" s="2"/>
      <c r="BL13" s="8">
        <v>0</v>
      </c>
      <c r="BM13" s="8">
        <v>0</v>
      </c>
      <c r="BN13" s="3">
        <f>BN12+Table44913[[#This Row],[DEPOSIT]]-Table44913[[#This Row],[EXPENSE]]</f>
        <v>397724</v>
      </c>
      <c r="BR13" s="8">
        <v>0</v>
      </c>
      <c r="BT13" s="6">
        <f>BT12+Table61014[[#This Row],[DEPOSIT]]-Table61014[[#This Row],[EXPENSE]]</f>
        <v>397724</v>
      </c>
    </row>
    <row r="14" spans="2:72" x14ac:dyDescent="0.35">
      <c r="B14" s="2">
        <v>46058</v>
      </c>
      <c r="C14" t="s">
        <v>19</v>
      </c>
      <c r="E14" s="3">
        <v>40000</v>
      </c>
      <c r="F14" s="3">
        <f>F13+Table2[[#This Row],[DEPOSIT]]-Table2[[#This Row],[EXPENSE]]</f>
        <v>43300</v>
      </c>
      <c r="H14" s="2">
        <v>46079</v>
      </c>
      <c r="I14" t="s">
        <v>23</v>
      </c>
      <c r="K14" s="6">
        <v>46112</v>
      </c>
      <c r="L14" s="3">
        <f>L13+Table4[[#This Row],[DEPOSIT]]-Table4[[#This Row],[EXPENSE]]</f>
        <v>179188</v>
      </c>
      <c r="N14" s="2">
        <v>46097</v>
      </c>
      <c r="O14" t="s">
        <v>28</v>
      </c>
      <c r="P14" s="7"/>
      <c r="Q14" s="6">
        <v>55000</v>
      </c>
      <c r="R14" s="3">
        <f>R13+Table44[[#This Row],[DEPOSIT]]-Table44[[#This Row],[EXPENSE]]</f>
        <v>64354</v>
      </c>
      <c r="T14" s="2">
        <v>46121</v>
      </c>
      <c r="U14" t="s">
        <v>34</v>
      </c>
      <c r="V14" s="8">
        <v>0</v>
      </c>
      <c r="W14" s="6">
        <v>60000</v>
      </c>
      <c r="X14" s="6">
        <f>X13+Table6[[#This Row],[DEPOSIT]]-Table6[[#This Row],[EXPENSE]]</f>
        <v>908474</v>
      </c>
      <c r="AB14" s="8">
        <v>0</v>
      </c>
      <c r="AD14" s="3">
        <f>AD13+Table26[[#This Row],[DEPOSIT]]-Table26[[#This Row],[EXPENSE]]</f>
        <v>397724</v>
      </c>
      <c r="AH14" s="8">
        <v>0</v>
      </c>
      <c r="AJ14" s="3">
        <f>AJ13+Table48[[#This Row],[DEPOSIT]]-Table48[[#This Row],[EXPENSE]]</f>
        <v>397724</v>
      </c>
      <c r="AL14" s="2"/>
      <c r="AN14" s="8">
        <v>0</v>
      </c>
      <c r="AO14" s="8">
        <v>0</v>
      </c>
      <c r="AP14" s="3">
        <f>AP13+Table449[[#This Row],[DEPOSIT]]-Table449[[#This Row],[EXPENSE]]</f>
        <v>397724</v>
      </c>
      <c r="AT14" s="8">
        <v>0</v>
      </c>
      <c r="AV14" s="6">
        <f>AV13+Table610[[#This Row],[DEPOSIT]]-Table610[[#This Row],[EXPENSE]]</f>
        <v>397724</v>
      </c>
      <c r="AZ14" s="8">
        <v>0</v>
      </c>
      <c r="BB14" s="3">
        <f>BB13+Table2611[[#This Row],[DEPOSIT]]-Table2611[[#This Row],[EXPENSE]]</f>
        <v>397724</v>
      </c>
      <c r="BF14" s="8">
        <v>0</v>
      </c>
      <c r="BH14" s="3">
        <f>BH13+Table4812[[#This Row],[DEPOSIT]]-Table4812[[#This Row],[EXPENSE]]</f>
        <v>397724</v>
      </c>
      <c r="BJ14" s="2"/>
      <c r="BL14" s="8">
        <v>0</v>
      </c>
      <c r="BM14" s="8">
        <v>0</v>
      </c>
      <c r="BN14" s="3">
        <f>BN13+Table44913[[#This Row],[DEPOSIT]]-Table44913[[#This Row],[EXPENSE]]</f>
        <v>397724</v>
      </c>
      <c r="BR14" s="8">
        <v>0</v>
      </c>
      <c r="BT14" s="6">
        <f>BT13+Table61014[[#This Row],[DEPOSIT]]-Table61014[[#This Row],[EXPENSE]]</f>
        <v>397724</v>
      </c>
    </row>
    <row r="15" spans="2:72" x14ac:dyDescent="0.35">
      <c r="B15" s="2">
        <v>46062</v>
      </c>
      <c r="C15" t="s">
        <v>15</v>
      </c>
      <c r="E15" s="3">
        <v>20000</v>
      </c>
      <c r="F15" s="3">
        <f>F14+Table2[[#This Row],[DEPOSIT]]-Table2[[#This Row],[EXPENSE]]</f>
        <v>23300</v>
      </c>
      <c r="H15" s="2">
        <v>46079</v>
      </c>
      <c r="I15" t="s">
        <v>24</v>
      </c>
      <c r="K15" s="6">
        <v>52712</v>
      </c>
      <c r="L15" s="3">
        <f>L14+Table4[[#This Row],[DEPOSIT]]-Table4[[#This Row],[EXPENSE]]</f>
        <v>126476</v>
      </c>
      <c r="N15" s="2">
        <v>46097</v>
      </c>
      <c r="O15" t="s">
        <v>26</v>
      </c>
      <c r="P15" s="7"/>
      <c r="Q15" s="6">
        <v>64000</v>
      </c>
      <c r="R15" s="3">
        <f>R14+Table44[[#This Row],[DEPOSIT]]-Table44[[#This Row],[EXPENSE]]</f>
        <v>354</v>
      </c>
      <c r="T15" s="2">
        <v>46122</v>
      </c>
      <c r="U15" t="s">
        <v>34</v>
      </c>
      <c r="V15" s="8">
        <v>0</v>
      </c>
      <c r="W15" s="6">
        <v>60000</v>
      </c>
      <c r="X15" s="6">
        <f>X14+Table6[[#This Row],[DEPOSIT]]-Table6[[#This Row],[EXPENSE]]</f>
        <v>848474</v>
      </c>
      <c r="AB15" s="8">
        <v>0</v>
      </c>
      <c r="AD15" s="3">
        <f>AD14+Table26[[#This Row],[DEPOSIT]]-Table26[[#This Row],[EXPENSE]]</f>
        <v>397724</v>
      </c>
      <c r="AH15" s="8">
        <v>0</v>
      </c>
      <c r="AJ15" s="3">
        <f>AJ14+Table48[[#This Row],[DEPOSIT]]-Table48[[#This Row],[EXPENSE]]</f>
        <v>397724</v>
      </c>
      <c r="AL15" s="2"/>
      <c r="AN15" s="8">
        <v>0</v>
      </c>
      <c r="AO15" s="8">
        <v>0</v>
      </c>
      <c r="AP15" s="3">
        <f>AP14+Table449[[#This Row],[DEPOSIT]]-Table449[[#This Row],[EXPENSE]]</f>
        <v>397724</v>
      </c>
      <c r="AT15" s="8">
        <v>0</v>
      </c>
      <c r="AV15" s="6">
        <f>AV14+Table610[[#This Row],[DEPOSIT]]-Table610[[#This Row],[EXPENSE]]</f>
        <v>397724</v>
      </c>
      <c r="AZ15" s="8">
        <v>0</v>
      </c>
      <c r="BB15" s="3">
        <f>BB14+Table2611[[#This Row],[DEPOSIT]]-Table2611[[#This Row],[EXPENSE]]</f>
        <v>397724</v>
      </c>
      <c r="BF15" s="8">
        <v>0</v>
      </c>
      <c r="BH15" s="3">
        <f>BH14+Table4812[[#This Row],[DEPOSIT]]-Table4812[[#This Row],[EXPENSE]]</f>
        <v>397724</v>
      </c>
      <c r="BJ15" s="2"/>
      <c r="BL15" s="8">
        <v>0</v>
      </c>
      <c r="BM15" s="8">
        <v>0</v>
      </c>
      <c r="BN15" s="3">
        <f>BN14+Table44913[[#This Row],[DEPOSIT]]-Table44913[[#This Row],[EXPENSE]]</f>
        <v>397724</v>
      </c>
      <c r="BR15" s="8">
        <v>0</v>
      </c>
      <c r="BT15" s="6">
        <f>BT14+Table61014[[#This Row],[DEPOSIT]]-Table61014[[#This Row],[EXPENSE]]</f>
        <v>397724</v>
      </c>
    </row>
    <row r="16" spans="2:72" x14ac:dyDescent="0.35">
      <c r="F16" s="3">
        <f>F15+Table2[[#This Row],[DEPOSIT]]-Table2[[#This Row],[EXPENSE]]</f>
        <v>23300</v>
      </c>
      <c r="H16" s="2">
        <v>46079</v>
      </c>
      <c r="I16" t="s">
        <v>17</v>
      </c>
      <c r="K16" s="6">
        <v>50000</v>
      </c>
      <c r="L16" s="3">
        <f>L15+Table4[[#This Row],[DEPOSIT]]-Table4[[#This Row],[EXPENSE]]</f>
        <v>76476</v>
      </c>
      <c r="N16" s="2">
        <v>46099</v>
      </c>
      <c r="O16" t="s">
        <v>13</v>
      </c>
      <c r="P16" s="7">
        <v>450000</v>
      </c>
      <c r="Q16" s="8">
        <v>0</v>
      </c>
      <c r="R16" s="3">
        <f>R15+Table44[[#This Row],[DEPOSIT]]-Table44[[#This Row],[EXPENSE]]</f>
        <v>450354</v>
      </c>
      <c r="T16" s="2">
        <v>46122</v>
      </c>
      <c r="U16" t="s">
        <v>34</v>
      </c>
      <c r="V16" s="8">
        <v>0</v>
      </c>
      <c r="W16" s="6">
        <v>60000</v>
      </c>
      <c r="X16" s="6">
        <f>X15+Table6[[#This Row],[DEPOSIT]]-Table6[[#This Row],[EXPENSE]]</f>
        <v>788474</v>
      </c>
      <c r="AB16" s="8">
        <v>0</v>
      </c>
      <c r="AC16" s="3">
        <v>0</v>
      </c>
      <c r="AD16" s="3">
        <f>AD15+Table26[[#This Row],[DEPOSIT]]-Table26[[#This Row],[EXPENSE]]</f>
        <v>397724</v>
      </c>
      <c r="AH16" s="8">
        <v>0</v>
      </c>
      <c r="AJ16" s="3">
        <f>AJ15+Table48[[#This Row],[DEPOSIT]]-Table48[[#This Row],[EXPENSE]]</f>
        <v>397724</v>
      </c>
      <c r="AL16" s="2"/>
      <c r="AN16" s="8">
        <v>0</v>
      </c>
      <c r="AO16" s="8">
        <v>0</v>
      </c>
      <c r="AP16" s="3">
        <f>AP15+Table449[[#This Row],[DEPOSIT]]-Table449[[#This Row],[EXPENSE]]</f>
        <v>397724</v>
      </c>
      <c r="AT16" s="8">
        <v>0</v>
      </c>
      <c r="AV16" s="6">
        <f>AV15+Table610[[#This Row],[DEPOSIT]]-Table610[[#This Row],[EXPENSE]]</f>
        <v>397724</v>
      </c>
      <c r="AZ16" s="8">
        <v>0</v>
      </c>
      <c r="BB16" s="3">
        <f>BB15+Table2611[[#This Row],[DEPOSIT]]-Table2611[[#This Row],[EXPENSE]]</f>
        <v>397724</v>
      </c>
      <c r="BF16" s="8">
        <v>0</v>
      </c>
      <c r="BH16" s="3">
        <f>BH15+Table4812[[#This Row],[DEPOSIT]]-Table4812[[#This Row],[EXPENSE]]</f>
        <v>397724</v>
      </c>
      <c r="BJ16" s="2"/>
      <c r="BL16" s="8">
        <v>0</v>
      </c>
      <c r="BM16" s="8">
        <v>0</v>
      </c>
      <c r="BN16" s="3">
        <f>BN15+Table44913[[#This Row],[DEPOSIT]]-Table44913[[#This Row],[EXPENSE]]</f>
        <v>397724</v>
      </c>
      <c r="BR16" s="8">
        <v>0</v>
      </c>
      <c r="BT16" s="6">
        <f>BT15+Table61014[[#This Row],[DEPOSIT]]-Table61014[[#This Row],[EXPENSE]]</f>
        <v>397724</v>
      </c>
    </row>
    <row r="17" spans="6:72" x14ac:dyDescent="0.35">
      <c r="F17" s="3">
        <f>F16+Table2[[#This Row],[DEPOSIT]]-Table2[[#This Row],[EXPENSE]]</f>
        <v>23300</v>
      </c>
      <c r="H17" s="2">
        <v>46083</v>
      </c>
      <c r="I17" t="s">
        <v>23</v>
      </c>
      <c r="K17" s="6">
        <v>30000</v>
      </c>
      <c r="L17" s="3">
        <f>L16+Table4[[#This Row],[DEPOSIT]]-Table4[[#This Row],[EXPENSE]]</f>
        <v>46476</v>
      </c>
      <c r="N17" s="2">
        <v>46099</v>
      </c>
      <c r="O17" t="s">
        <v>29</v>
      </c>
      <c r="P17" s="7"/>
      <c r="Q17" s="6">
        <v>101880</v>
      </c>
      <c r="R17" s="3">
        <f>R16+Table44[[#This Row],[DEPOSIT]]-Table44[[#This Row],[EXPENSE]]</f>
        <v>348474</v>
      </c>
      <c r="T17" s="2">
        <v>46123</v>
      </c>
      <c r="U17" t="s">
        <v>34</v>
      </c>
      <c r="V17" s="8">
        <v>0</v>
      </c>
      <c r="W17" s="6">
        <v>60000</v>
      </c>
      <c r="X17" s="6">
        <f>X16+Table6[[#This Row],[DEPOSIT]]-Table6[[#This Row],[EXPENSE]]</f>
        <v>728474</v>
      </c>
      <c r="AB17" s="8">
        <v>0</v>
      </c>
      <c r="AD17" s="3">
        <f>AD16+Table26[[#This Row],[DEPOSIT]]-Table26[[#This Row],[EXPENSE]]</f>
        <v>397724</v>
      </c>
      <c r="AH17" s="8">
        <v>0</v>
      </c>
      <c r="AJ17" s="3">
        <f>AJ16+Table48[[#This Row],[DEPOSIT]]-Table48[[#This Row],[EXPENSE]]</f>
        <v>397724</v>
      </c>
      <c r="AL17" s="2"/>
      <c r="AN17" s="8">
        <v>0</v>
      </c>
      <c r="AO17" s="8">
        <v>0</v>
      </c>
      <c r="AP17" s="3">
        <f>AP16+Table449[[#This Row],[DEPOSIT]]-Table449[[#This Row],[EXPENSE]]</f>
        <v>397724</v>
      </c>
      <c r="AT17" s="8">
        <v>0</v>
      </c>
      <c r="AV17" s="6">
        <f>AV16+Table610[[#This Row],[DEPOSIT]]-Table610[[#This Row],[EXPENSE]]</f>
        <v>397724</v>
      </c>
      <c r="AZ17" s="8">
        <v>0</v>
      </c>
      <c r="BB17" s="3">
        <f>BB16+Table2611[[#This Row],[DEPOSIT]]-Table2611[[#This Row],[EXPENSE]]</f>
        <v>397724</v>
      </c>
      <c r="BF17" s="8">
        <v>0</v>
      </c>
      <c r="BH17" s="3">
        <f>BH16+Table4812[[#This Row],[DEPOSIT]]-Table4812[[#This Row],[EXPENSE]]</f>
        <v>397724</v>
      </c>
      <c r="BJ17" s="2"/>
      <c r="BL17" s="8">
        <v>0</v>
      </c>
      <c r="BM17" s="8">
        <v>0</v>
      </c>
      <c r="BN17" s="3">
        <f>BN16+Table44913[[#This Row],[DEPOSIT]]-Table44913[[#This Row],[EXPENSE]]</f>
        <v>397724</v>
      </c>
      <c r="BR17" s="8">
        <v>0</v>
      </c>
      <c r="BT17" s="6">
        <f>BT16+Table61014[[#This Row],[DEPOSIT]]-Table61014[[#This Row],[EXPENSE]]</f>
        <v>397724</v>
      </c>
    </row>
    <row r="18" spans="6:72" x14ac:dyDescent="0.35">
      <c r="F18" s="3">
        <f>F17+Table2[[#This Row],[DEPOSIT]]-Table2[[#This Row],[EXPENSE]]</f>
        <v>23300</v>
      </c>
      <c r="H18" s="2">
        <v>46085</v>
      </c>
      <c r="I18" t="s">
        <v>23</v>
      </c>
      <c r="K18" s="6">
        <v>40000</v>
      </c>
      <c r="L18" s="3">
        <f>L17+Table4[[#This Row],[DEPOSIT]]-Table4[[#This Row],[EXPENSE]]</f>
        <v>6476</v>
      </c>
      <c r="N18" s="2">
        <v>46103</v>
      </c>
      <c r="O18" t="s">
        <v>26</v>
      </c>
      <c r="P18" s="7"/>
      <c r="Q18" s="6">
        <v>50000</v>
      </c>
      <c r="R18" s="3">
        <f>R17+Table44[[#This Row],[DEPOSIT]]-Table44[[#This Row],[EXPENSE]]</f>
        <v>298474</v>
      </c>
      <c r="T18" s="2">
        <v>46125</v>
      </c>
      <c r="U18" t="s">
        <v>34</v>
      </c>
      <c r="V18" s="8">
        <v>0</v>
      </c>
      <c r="W18" s="6">
        <v>60000</v>
      </c>
      <c r="X18" s="6">
        <f>X17+Table6[[#This Row],[DEPOSIT]]-Table6[[#This Row],[EXPENSE]]</f>
        <v>668474</v>
      </c>
      <c r="AB18" s="8">
        <v>0</v>
      </c>
      <c r="AD18" s="3">
        <f>AD17+Table26[[#This Row],[DEPOSIT]]-Table26[[#This Row],[EXPENSE]]</f>
        <v>397724</v>
      </c>
      <c r="AH18" s="8">
        <v>0</v>
      </c>
      <c r="AJ18" s="3">
        <f>AJ17+Table48[[#This Row],[DEPOSIT]]-Table48[[#This Row],[EXPENSE]]</f>
        <v>397724</v>
      </c>
      <c r="AL18" s="2"/>
      <c r="AN18" s="8">
        <v>0</v>
      </c>
      <c r="AO18" s="8">
        <v>0</v>
      </c>
      <c r="AP18" s="3">
        <f>AP17+Table449[[#This Row],[DEPOSIT]]-Table449[[#This Row],[EXPENSE]]</f>
        <v>397724</v>
      </c>
      <c r="AT18" s="8">
        <v>0</v>
      </c>
      <c r="AV18" s="6">
        <f>AV17+Table610[[#This Row],[DEPOSIT]]-Table610[[#This Row],[EXPENSE]]</f>
        <v>397724</v>
      </c>
      <c r="AZ18" s="8">
        <v>0</v>
      </c>
      <c r="BB18" s="3">
        <f>BB17+Table2611[[#This Row],[DEPOSIT]]-Table2611[[#This Row],[EXPENSE]]</f>
        <v>397724</v>
      </c>
      <c r="BF18" s="8">
        <v>0</v>
      </c>
      <c r="BH18" s="3">
        <f>BH17+Table4812[[#This Row],[DEPOSIT]]-Table4812[[#This Row],[EXPENSE]]</f>
        <v>397724</v>
      </c>
      <c r="BJ18" s="2"/>
      <c r="BL18" s="8">
        <v>0</v>
      </c>
      <c r="BM18" s="8">
        <v>0</v>
      </c>
      <c r="BN18" s="3">
        <f>BN17+Table44913[[#This Row],[DEPOSIT]]-Table44913[[#This Row],[EXPENSE]]</f>
        <v>397724</v>
      </c>
      <c r="BR18" s="8">
        <v>0</v>
      </c>
      <c r="BT18" s="6">
        <f>BT17+Table61014[[#This Row],[DEPOSIT]]-Table61014[[#This Row],[EXPENSE]]</f>
        <v>397724</v>
      </c>
    </row>
    <row r="19" spans="6:72" x14ac:dyDescent="0.35">
      <c r="F19" s="3">
        <f>F18+Table2[[#This Row],[DEPOSIT]]-Table2[[#This Row],[EXPENSE]]</f>
        <v>23300</v>
      </c>
      <c r="L19" s="3">
        <f>L18+Table4[[#This Row],[DEPOSIT]]-Table4[[#This Row],[EXPENSE]]</f>
        <v>6476</v>
      </c>
      <c r="N19" s="2">
        <v>46076</v>
      </c>
      <c r="O19" t="s">
        <v>26</v>
      </c>
      <c r="P19" s="7"/>
      <c r="Q19" s="6">
        <v>50000</v>
      </c>
      <c r="R19" s="3">
        <f>R18+Table44[[#This Row],[DEPOSIT]]-Table44[[#This Row],[EXPENSE]]</f>
        <v>248474</v>
      </c>
      <c r="T19" s="2">
        <v>46126</v>
      </c>
      <c r="U19" t="s">
        <v>34</v>
      </c>
      <c r="V19" s="8">
        <v>0</v>
      </c>
      <c r="W19" s="6">
        <v>50750</v>
      </c>
      <c r="X19" s="6">
        <f>X18+Table6[[#This Row],[DEPOSIT]]-Table6[[#This Row],[EXPENSE]]</f>
        <v>617724</v>
      </c>
      <c r="AB19" s="8">
        <v>0</v>
      </c>
      <c r="AD19" s="3">
        <f>AD18+Table26[[#This Row],[DEPOSIT]]-Table26[[#This Row],[EXPENSE]]</f>
        <v>397724</v>
      </c>
      <c r="AH19" s="8">
        <v>0</v>
      </c>
      <c r="AJ19" s="3">
        <f>AJ18+Table48[[#This Row],[DEPOSIT]]-Table48[[#This Row],[EXPENSE]]</f>
        <v>397724</v>
      </c>
      <c r="AL19" s="2"/>
      <c r="AN19" s="8">
        <v>0</v>
      </c>
      <c r="AO19" s="8">
        <v>0</v>
      </c>
      <c r="AP19" s="3">
        <f>AP18+Table449[[#This Row],[DEPOSIT]]-Table449[[#This Row],[EXPENSE]]</f>
        <v>397724</v>
      </c>
      <c r="AT19" s="8">
        <v>0</v>
      </c>
      <c r="AV19" s="6">
        <f>AV18+Table610[[#This Row],[DEPOSIT]]-Table610[[#This Row],[EXPENSE]]</f>
        <v>397724</v>
      </c>
      <c r="AZ19" s="8">
        <v>0</v>
      </c>
      <c r="BB19" s="3">
        <f>BB18+Table2611[[#This Row],[DEPOSIT]]-Table2611[[#This Row],[EXPENSE]]</f>
        <v>397724</v>
      </c>
      <c r="BF19" s="8">
        <v>0</v>
      </c>
      <c r="BH19" s="3">
        <f>BH18+Table4812[[#This Row],[DEPOSIT]]-Table4812[[#This Row],[EXPENSE]]</f>
        <v>397724</v>
      </c>
      <c r="BJ19" s="2"/>
      <c r="BL19" s="8">
        <v>0</v>
      </c>
      <c r="BM19" s="8">
        <v>0</v>
      </c>
      <c r="BN19" s="3">
        <f>BN18+Table44913[[#This Row],[DEPOSIT]]-Table44913[[#This Row],[EXPENSE]]</f>
        <v>397724</v>
      </c>
      <c r="BR19" s="8">
        <v>0</v>
      </c>
      <c r="BT19" s="6">
        <f>BT18+Table61014[[#This Row],[DEPOSIT]]-Table61014[[#This Row],[EXPENSE]]</f>
        <v>397724</v>
      </c>
    </row>
    <row r="20" spans="6:72" x14ac:dyDescent="0.35">
      <c r="F20" s="3">
        <f>F19+Table2[[#This Row],[DEPOSIT]]-Table2[[#This Row],[EXPENSE]]</f>
        <v>23300</v>
      </c>
      <c r="L20" s="3">
        <f>L19+Table4[[#This Row],[DEPOSIT]]-Table4[[#This Row],[EXPENSE]]</f>
        <v>6476</v>
      </c>
      <c r="N20" s="2">
        <v>46076</v>
      </c>
      <c r="O20" t="s">
        <v>30</v>
      </c>
      <c r="P20" s="7"/>
      <c r="Q20" s="6">
        <v>20000</v>
      </c>
      <c r="R20" s="3">
        <f>R19+Table44[[#This Row],[DEPOSIT]]-Table44[[#This Row],[EXPENSE]]</f>
        <v>228474</v>
      </c>
      <c r="T20" s="2">
        <v>46127</v>
      </c>
      <c r="U20" t="s">
        <v>25</v>
      </c>
      <c r="V20" s="8">
        <v>0</v>
      </c>
      <c r="W20" s="6">
        <v>20000</v>
      </c>
      <c r="X20" s="6">
        <f>X19+Table6[[#This Row],[DEPOSIT]]-Table6[[#This Row],[EXPENSE]]</f>
        <v>597724</v>
      </c>
      <c r="AB20" s="8">
        <v>0</v>
      </c>
      <c r="AD20" s="3">
        <f>AD19+Table26[[#This Row],[DEPOSIT]]-Table26[[#This Row],[EXPENSE]]</f>
        <v>397724</v>
      </c>
      <c r="AH20" s="8">
        <v>0</v>
      </c>
      <c r="AJ20" s="3">
        <f>AJ19+Table48[[#This Row],[DEPOSIT]]-Table48[[#This Row],[EXPENSE]]</f>
        <v>397724</v>
      </c>
      <c r="AL20" s="2"/>
      <c r="AN20" s="8">
        <v>0</v>
      </c>
      <c r="AO20" s="8">
        <v>0</v>
      </c>
      <c r="AP20" s="3">
        <f>AP19+Table449[[#This Row],[DEPOSIT]]-Table449[[#This Row],[EXPENSE]]</f>
        <v>397724</v>
      </c>
      <c r="AT20" s="8">
        <v>0</v>
      </c>
      <c r="AV20" s="6">
        <f>AV19+Table610[[#This Row],[DEPOSIT]]-Table610[[#This Row],[EXPENSE]]</f>
        <v>397724</v>
      </c>
      <c r="AZ20" s="8">
        <v>0</v>
      </c>
      <c r="BB20" s="3">
        <f>BB19+Table2611[[#This Row],[DEPOSIT]]-Table2611[[#This Row],[EXPENSE]]</f>
        <v>397724</v>
      </c>
      <c r="BF20" s="8">
        <v>0</v>
      </c>
      <c r="BH20" s="3">
        <f>BH19+Table4812[[#This Row],[DEPOSIT]]-Table4812[[#This Row],[EXPENSE]]</f>
        <v>397724</v>
      </c>
      <c r="BJ20" s="2"/>
      <c r="BL20" s="8">
        <v>0</v>
      </c>
      <c r="BM20" s="8">
        <v>0</v>
      </c>
      <c r="BN20" s="3">
        <f>BN19+Table44913[[#This Row],[DEPOSIT]]-Table44913[[#This Row],[EXPENSE]]</f>
        <v>397724</v>
      </c>
      <c r="BR20" s="8">
        <v>0</v>
      </c>
      <c r="BT20" s="6">
        <f>BT19+Table61014[[#This Row],[DEPOSIT]]-Table61014[[#This Row],[EXPENSE]]</f>
        <v>397724</v>
      </c>
    </row>
    <row r="21" spans="6:72" x14ac:dyDescent="0.35">
      <c r="F21" s="3">
        <f>F20+Table2[[#This Row],[DEPOSIT]]-Table2[[#This Row],[EXPENSE]]</f>
        <v>23300</v>
      </c>
      <c r="L21" s="3">
        <f>L20+Table4[[#This Row],[DEPOSIT]]-Table4[[#This Row],[EXPENSE]]</f>
        <v>6476</v>
      </c>
      <c r="N21" s="2">
        <v>46105</v>
      </c>
      <c r="O21" t="s">
        <v>25</v>
      </c>
      <c r="P21" s="7"/>
      <c r="Q21" s="6">
        <v>20000</v>
      </c>
      <c r="R21" s="3">
        <f>R20+Table44[[#This Row],[DEPOSIT]]-Table44[[#This Row],[EXPENSE]]</f>
        <v>208474</v>
      </c>
      <c r="T21" s="2">
        <v>46127</v>
      </c>
      <c r="U21" t="s">
        <v>34</v>
      </c>
      <c r="V21" s="8">
        <v>0</v>
      </c>
      <c r="W21" s="6">
        <v>60000</v>
      </c>
      <c r="X21" s="6">
        <f>X20+Table6[[#This Row],[DEPOSIT]]-Table6[[#This Row],[EXPENSE]]</f>
        <v>537724</v>
      </c>
      <c r="AB21" s="8">
        <v>0</v>
      </c>
      <c r="AD21" s="3">
        <f>AD20+Table26[[#This Row],[DEPOSIT]]-Table26[[#This Row],[EXPENSE]]</f>
        <v>397724</v>
      </c>
      <c r="AH21" s="8">
        <v>0</v>
      </c>
      <c r="AJ21" s="3">
        <f>AJ20+Table48[[#This Row],[DEPOSIT]]-Table48[[#This Row],[EXPENSE]]</f>
        <v>397724</v>
      </c>
      <c r="AL21" s="2"/>
      <c r="AN21" s="8">
        <v>0</v>
      </c>
      <c r="AO21" s="8">
        <v>0</v>
      </c>
      <c r="AP21" s="3">
        <f>AP20+Table449[[#This Row],[DEPOSIT]]-Table449[[#This Row],[EXPENSE]]</f>
        <v>397724</v>
      </c>
      <c r="AT21" s="8">
        <v>0</v>
      </c>
      <c r="AV21" s="6">
        <f>AV20+Table610[[#This Row],[DEPOSIT]]-Table610[[#This Row],[EXPENSE]]</f>
        <v>397724</v>
      </c>
      <c r="AZ21" s="8">
        <v>0</v>
      </c>
      <c r="BB21" s="3">
        <f>BB20+Table2611[[#This Row],[DEPOSIT]]-Table2611[[#This Row],[EXPENSE]]</f>
        <v>397724</v>
      </c>
      <c r="BF21" s="8">
        <v>0</v>
      </c>
      <c r="BH21" s="3">
        <f>BH20+Table4812[[#This Row],[DEPOSIT]]-Table4812[[#This Row],[EXPENSE]]</f>
        <v>397724</v>
      </c>
      <c r="BJ21" s="2"/>
      <c r="BL21" s="8">
        <v>0</v>
      </c>
      <c r="BM21" s="8">
        <v>0</v>
      </c>
      <c r="BN21" s="3">
        <f>BN20+Table44913[[#This Row],[DEPOSIT]]-Table44913[[#This Row],[EXPENSE]]</f>
        <v>397724</v>
      </c>
      <c r="BR21" s="8">
        <v>0</v>
      </c>
      <c r="BT21" s="6">
        <f>BT20+Table61014[[#This Row],[DEPOSIT]]-Table61014[[#This Row],[EXPENSE]]</f>
        <v>397724</v>
      </c>
    </row>
    <row r="22" spans="6:72" x14ac:dyDescent="0.35">
      <c r="F22" s="3">
        <f>F21+Table2[[#This Row],[DEPOSIT]]-Table2[[#This Row],[EXPENSE]]</f>
        <v>23300</v>
      </c>
      <c r="L22" s="3">
        <f>L21+Table4[[#This Row],[DEPOSIT]]-Table4[[#This Row],[EXPENSE]]</f>
        <v>6476</v>
      </c>
      <c r="N22" s="2">
        <v>46105</v>
      </c>
      <c r="O22" t="s">
        <v>26</v>
      </c>
      <c r="P22" s="7"/>
      <c r="Q22" s="6">
        <v>50000</v>
      </c>
      <c r="R22" s="3">
        <f>R21+Table44[[#This Row],[DEPOSIT]]-Table44[[#This Row],[EXPENSE]]</f>
        <v>158474</v>
      </c>
      <c r="T22" s="2">
        <v>46127</v>
      </c>
      <c r="U22" t="s">
        <v>35</v>
      </c>
      <c r="V22" s="8">
        <v>0</v>
      </c>
      <c r="W22" s="6">
        <v>40000</v>
      </c>
      <c r="X22" s="6">
        <f>X21+Table6[[#This Row],[DEPOSIT]]-Table6[[#This Row],[EXPENSE]]</f>
        <v>497724</v>
      </c>
      <c r="AB22" s="8">
        <v>0</v>
      </c>
      <c r="AD22" s="3">
        <f>AD21+Table26[[#This Row],[DEPOSIT]]-Table26[[#This Row],[EXPENSE]]</f>
        <v>397724</v>
      </c>
      <c r="AH22" s="8">
        <v>0</v>
      </c>
      <c r="AJ22" s="3">
        <f>AJ21+Table48[[#This Row],[DEPOSIT]]-Table48[[#This Row],[EXPENSE]]</f>
        <v>397724</v>
      </c>
      <c r="AL22" s="2"/>
      <c r="AN22" s="8">
        <v>0</v>
      </c>
      <c r="AO22" s="8">
        <v>0</v>
      </c>
      <c r="AP22" s="3">
        <f>AP21+Table449[[#This Row],[DEPOSIT]]-Table449[[#This Row],[EXPENSE]]</f>
        <v>397724</v>
      </c>
      <c r="AT22" s="8">
        <v>0</v>
      </c>
      <c r="AV22" s="6">
        <f>AV21+Table610[[#This Row],[DEPOSIT]]-Table610[[#This Row],[EXPENSE]]</f>
        <v>397724</v>
      </c>
      <c r="AZ22" s="8">
        <v>0</v>
      </c>
      <c r="BB22" s="3">
        <f>BB21+Table2611[[#This Row],[DEPOSIT]]-Table2611[[#This Row],[EXPENSE]]</f>
        <v>397724</v>
      </c>
      <c r="BF22" s="8">
        <v>0</v>
      </c>
      <c r="BH22" s="3">
        <f>BH21+Table4812[[#This Row],[DEPOSIT]]-Table4812[[#This Row],[EXPENSE]]</f>
        <v>397724</v>
      </c>
      <c r="BJ22" s="2"/>
      <c r="BL22" s="8">
        <v>0</v>
      </c>
      <c r="BM22" s="8">
        <v>0</v>
      </c>
      <c r="BN22" s="3">
        <f>BN21+Table44913[[#This Row],[DEPOSIT]]-Table44913[[#This Row],[EXPENSE]]</f>
        <v>397724</v>
      </c>
      <c r="BR22" s="8">
        <v>0</v>
      </c>
      <c r="BT22" s="6">
        <f>BT21+Table61014[[#This Row],[DEPOSIT]]-Table61014[[#This Row],[EXPENSE]]</f>
        <v>397724</v>
      </c>
    </row>
    <row r="23" spans="6:72" x14ac:dyDescent="0.35">
      <c r="F23" s="3">
        <f>F22+Table2[[#This Row],[DEPOSIT]]-Table2[[#This Row],[EXPENSE]]</f>
        <v>23300</v>
      </c>
      <c r="L23" s="3">
        <f>L22+Table4[[#This Row],[DEPOSIT]]-Table4[[#This Row],[EXPENSE]]</f>
        <v>6476</v>
      </c>
      <c r="N23" s="2">
        <v>46106</v>
      </c>
      <c r="O23" t="s">
        <v>26</v>
      </c>
      <c r="P23" s="7"/>
      <c r="Q23" s="6">
        <v>50000</v>
      </c>
      <c r="R23" s="3">
        <f>R22+Table44[[#This Row],[DEPOSIT]]-Table44[[#This Row],[EXPENSE]]</f>
        <v>108474</v>
      </c>
      <c r="T23" s="2">
        <v>46127</v>
      </c>
      <c r="U23" t="s">
        <v>33</v>
      </c>
      <c r="V23" s="8">
        <v>0</v>
      </c>
      <c r="W23" s="6">
        <v>100000</v>
      </c>
      <c r="X23" s="6">
        <f>X22+Table6[[#This Row],[DEPOSIT]]-Table6[[#This Row],[EXPENSE]]</f>
        <v>397724</v>
      </c>
      <c r="AB23" s="8">
        <v>0</v>
      </c>
      <c r="AD23" s="3">
        <f>AD22+Table26[[#This Row],[DEPOSIT]]-Table26[[#This Row],[EXPENSE]]</f>
        <v>397724</v>
      </c>
      <c r="AH23" s="8">
        <v>0</v>
      </c>
      <c r="AJ23" s="3">
        <f>AJ22+Table48[[#This Row],[DEPOSIT]]-Table48[[#This Row],[EXPENSE]]</f>
        <v>397724</v>
      </c>
      <c r="AL23" s="2"/>
      <c r="AN23" s="8">
        <v>0</v>
      </c>
      <c r="AO23" s="8">
        <v>0</v>
      </c>
      <c r="AP23" s="3">
        <f>AP22+Table449[[#This Row],[DEPOSIT]]-Table449[[#This Row],[EXPENSE]]</f>
        <v>397724</v>
      </c>
      <c r="AT23" s="8">
        <v>0</v>
      </c>
      <c r="AV23" s="6">
        <f>AV22+Table610[[#This Row],[DEPOSIT]]-Table610[[#This Row],[EXPENSE]]</f>
        <v>397724</v>
      </c>
      <c r="AZ23" s="8">
        <v>0</v>
      </c>
      <c r="BB23" s="3">
        <f>BB22+Table2611[[#This Row],[DEPOSIT]]-Table2611[[#This Row],[EXPENSE]]</f>
        <v>397724</v>
      </c>
      <c r="BF23" s="8">
        <v>0</v>
      </c>
      <c r="BH23" s="3">
        <f>BH22+Table4812[[#This Row],[DEPOSIT]]-Table4812[[#This Row],[EXPENSE]]</f>
        <v>397724</v>
      </c>
      <c r="BJ23" s="2"/>
      <c r="BL23" s="8">
        <v>0</v>
      </c>
      <c r="BM23" s="8">
        <v>0</v>
      </c>
      <c r="BN23" s="3">
        <f>BN22+Table44913[[#This Row],[DEPOSIT]]-Table44913[[#This Row],[EXPENSE]]</f>
        <v>397724</v>
      </c>
      <c r="BR23" s="8">
        <v>0</v>
      </c>
      <c r="BT23" s="6">
        <f>BT22+Table61014[[#This Row],[DEPOSIT]]-Table61014[[#This Row],[EXPENSE]]</f>
        <v>397724</v>
      </c>
    </row>
    <row r="24" spans="6:72" x14ac:dyDescent="0.35">
      <c r="F24" s="3">
        <f>F23+Table2[[#This Row],[DEPOSIT]]-Table2[[#This Row],[EXPENSE]]</f>
        <v>23300</v>
      </c>
      <c r="L24" s="3">
        <f>L23+Table4[[#This Row],[DEPOSIT]]-Table4[[#This Row],[EXPENSE]]</f>
        <v>6476</v>
      </c>
      <c r="N24" s="2">
        <v>46107</v>
      </c>
      <c r="O24" t="s">
        <v>26</v>
      </c>
      <c r="P24" s="7"/>
      <c r="Q24" s="6">
        <v>50000</v>
      </c>
      <c r="R24" s="3">
        <f>R23+Table44[[#This Row],[DEPOSIT]]-Table44[[#This Row],[EXPENSE]]</f>
        <v>58474</v>
      </c>
      <c r="V24" s="8">
        <v>0</v>
      </c>
      <c r="X24" s="6">
        <f>X23+Table6[[#This Row],[DEPOSIT]]-Table6[[#This Row],[EXPENSE]]</f>
        <v>397724</v>
      </c>
      <c r="AB24" s="8">
        <v>0</v>
      </c>
      <c r="AD24" s="3">
        <f>AD23+Table26[[#This Row],[DEPOSIT]]-Table26[[#This Row],[EXPENSE]]</f>
        <v>397724</v>
      </c>
      <c r="AH24" s="8">
        <v>0</v>
      </c>
      <c r="AJ24" s="3">
        <f>AJ23+Table48[[#This Row],[DEPOSIT]]-Table48[[#This Row],[EXPENSE]]</f>
        <v>397724</v>
      </c>
      <c r="AL24" s="2"/>
      <c r="AN24" s="8">
        <v>0</v>
      </c>
      <c r="AO24" s="8">
        <v>0</v>
      </c>
      <c r="AP24" s="3">
        <f>AP23+Table449[[#This Row],[DEPOSIT]]-Table449[[#This Row],[EXPENSE]]</f>
        <v>397724</v>
      </c>
      <c r="AT24" s="8">
        <v>0</v>
      </c>
      <c r="AV24" s="6">
        <f>AV23+Table610[[#This Row],[DEPOSIT]]-Table610[[#This Row],[EXPENSE]]</f>
        <v>397724</v>
      </c>
      <c r="AZ24" s="8">
        <v>0</v>
      </c>
      <c r="BB24" s="3">
        <f>BB23+Table2611[[#This Row],[DEPOSIT]]-Table2611[[#This Row],[EXPENSE]]</f>
        <v>397724</v>
      </c>
      <c r="BF24" s="8">
        <v>0</v>
      </c>
      <c r="BH24" s="3">
        <f>BH23+Table4812[[#This Row],[DEPOSIT]]-Table4812[[#This Row],[EXPENSE]]</f>
        <v>397724</v>
      </c>
      <c r="BJ24" s="2"/>
      <c r="BL24" s="8">
        <v>0</v>
      </c>
      <c r="BM24" s="8">
        <v>0</v>
      </c>
      <c r="BN24" s="3">
        <f>BN23+Table44913[[#This Row],[DEPOSIT]]-Table44913[[#This Row],[EXPENSE]]</f>
        <v>397724</v>
      </c>
      <c r="BR24" s="8">
        <v>0</v>
      </c>
      <c r="BT24" s="6">
        <f>BT23+Table61014[[#This Row],[DEPOSIT]]-Table61014[[#This Row],[EXPENSE]]</f>
        <v>397724</v>
      </c>
    </row>
    <row r="25" spans="6:72" x14ac:dyDescent="0.35">
      <c r="F25" s="3">
        <f>F24+Table2[[#This Row],[DEPOSIT]]-Table2[[#This Row],[EXPENSE]]</f>
        <v>23300</v>
      </c>
      <c r="L25" s="3">
        <f>L24+Table4[[#This Row],[DEPOSIT]]-Table4[[#This Row],[EXPENSE]]</f>
        <v>6476</v>
      </c>
      <c r="N25" s="2">
        <v>46107</v>
      </c>
      <c r="O25" t="s">
        <v>25</v>
      </c>
      <c r="P25" s="7"/>
      <c r="Q25" s="6">
        <v>20000</v>
      </c>
      <c r="R25" s="3">
        <f>R24+Table44[[#This Row],[DEPOSIT]]-Table44[[#This Row],[EXPENSE]]</f>
        <v>38474</v>
      </c>
      <c r="V25" s="8">
        <v>0</v>
      </c>
      <c r="X25" s="6">
        <f>X24+Table6[[#This Row],[DEPOSIT]]-Table6[[#This Row],[EXPENSE]]</f>
        <v>397724</v>
      </c>
      <c r="AB25" s="8">
        <v>0</v>
      </c>
      <c r="AD25" s="3">
        <f>AD24+Table26[[#This Row],[DEPOSIT]]-Table26[[#This Row],[EXPENSE]]</f>
        <v>397724</v>
      </c>
      <c r="AH25" s="8">
        <v>0</v>
      </c>
      <c r="AJ25" s="3">
        <f>AJ24+Table48[[#This Row],[DEPOSIT]]-Table48[[#This Row],[EXPENSE]]</f>
        <v>397724</v>
      </c>
      <c r="AL25" s="2"/>
      <c r="AN25" s="8">
        <v>0</v>
      </c>
      <c r="AO25" s="8">
        <v>0</v>
      </c>
      <c r="AP25" s="3">
        <f>AP24+Table449[[#This Row],[DEPOSIT]]-Table449[[#This Row],[EXPENSE]]</f>
        <v>397724</v>
      </c>
      <c r="AT25" s="8">
        <v>0</v>
      </c>
      <c r="AV25" s="6">
        <f>AV24+Table610[[#This Row],[DEPOSIT]]-Table610[[#This Row],[EXPENSE]]</f>
        <v>397724</v>
      </c>
      <c r="AZ25" s="8">
        <v>0</v>
      </c>
      <c r="BB25" s="3">
        <f>BB24+Table2611[[#This Row],[DEPOSIT]]-Table2611[[#This Row],[EXPENSE]]</f>
        <v>397724</v>
      </c>
      <c r="BF25" s="8">
        <v>0</v>
      </c>
      <c r="BH25" s="3">
        <f>BH24+Table4812[[#This Row],[DEPOSIT]]-Table4812[[#This Row],[EXPENSE]]</f>
        <v>397724</v>
      </c>
      <c r="BJ25" s="2"/>
      <c r="BL25" s="8">
        <v>0</v>
      </c>
      <c r="BM25" s="8">
        <v>0</v>
      </c>
      <c r="BN25" s="3">
        <f>BN24+Table44913[[#This Row],[DEPOSIT]]-Table44913[[#This Row],[EXPENSE]]</f>
        <v>397724</v>
      </c>
      <c r="BR25" s="8">
        <v>0</v>
      </c>
      <c r="BT25" s="6">
        <f>BT24+Table61014[[#This Row],[DEPOSIT]]-Table61014[[#This Row],[EXPENSE]]</f>
        <v>397724</v>
      </c>
    </row>
    <row r="26" spans="6:72" x14ac:dyDescent="0.35">
      <c r="F26" s="3">
        <f>F25+Table2[[#This Row],[DEPOSIT]]-Table2[[#This Row],[EXPENSE]]</f>
        <v>23300</v>
      </c>
      <c r="L26" s="3">
        <f>L25+Table4[[#This Row],[DEPOSIT]]-Table4[[#This Row],[EXPENSE]]</f>
        <v>6476</v>
      </c>
      <c r="N26" s="2">
        <v>46107</v>
      </c>
      <c r="O26" t="s">
        <v>13</v>
      </c>
      <c r="P26" s="7">
        <v>500000</v>
      </c>
      <c r="Q26" s="8">
        <v>0</v>
      </c>
      <c r="R26" s="3">
        <f>R25+Table44[[#This Row],[DEPOSIT]]-Table44[[#This Row],[EXPENSE]]</f>
        <v>538474</v>
      </c>
      <c r="V26" s="8">
        <v>0</v>
      </c>
      <c r="X26" s="6">
        <f>X25+Table6[[#This Row],[DEPOSIT]]-Table6[[#This Row],[EXPENSE]]</f>
        <v>397724</v>
      </c>
      <c r="AB26" s="8">
        <v>0</v>
      </c>
      <c r="AD26" s="3">
        <f>AD25+Table26[[#This Row],[DEPOSIT]]-Table26[[#This Row],[EXPENSE]]</f>
        <v>397724</v>
      </c>
      <c r="AH26" s="8">
        <v>0</v>
      </c>
      <c r="AJ26" s="3">
        <f>AJ25+Table48[[#This Row],[DEPOSIT]]-Table48[[#This Row],[EXPENSE]]</f>
        <v>397724</v>
      </c>
      <c r="AL26" s="2"/>
      <c r="AN26" s="8">
        <v>0</v>
      </c>
      <c r="AO26" s="8">
        <v>0</v>
      </c>
      <c r="AP26" s="3">
        <f>AP25+Table449[[#This Row],[DEPOSIT]]-Table449[[#This Row],[EXPENSE]]</f>
        <v>397724</v>
      </c>
      <c r="AT26" s="8">
        <v>0</v>
      </c>
      <c r="AV26" s="6">
        <f>AV25+Table610[[#This Row],[DEPOSIT]]-Table610[[#This Row],[EXPENSE]]</f>
        <v>397724</v>
      </c>
      <c r="AZ26" s="8">
        <v>0</v>
      </c>
      <c r="BB26" s="3">
        <f>BB25+Table2611[[#This Row],[DEPOSIT]]-Table2611[[#This Row],[EXPENSE]]</f>
        <v>397724</v>
      </c>
      <c r="BF26" s="8">
        <v>0</v>
      </c>
      <c r="BH26" s="3">
        <f>BH25+Table4812[[#This Row],[DEPOSIT]]-Table4812[[#This Row],[EXPENSE]]</f>
        <v>397724</v>
      </c>
      <c r="BJ26" s="2"/>
      <c r="BL26" s="8">
        <v>0</v>
      </c>
      <c r="BM26" s="8">
        <v>0</v>
      </c>
      <c r="BN26" s="3">
        <f>BN25+Table44913[[#This Row],[DEPOSIT]]-Table44913[[#This Row],[EXPENSE]]</f>
        <v>397724</v>
      </c>
      <c r="BR26" s="8">
        <v>0</v>
      </c>
      <c r="BT26" s="6">
        <f>BT25+Table61014[[#This Row],[DEPOSIT]]-Table61014[[#This Row],[EXPENSE]]</f>
        <v>397724</v>
      </c>
    </row>
    <row r="27" spans="6:72" x14ac:dyDescent="0.35">
      <c r="F27" s="3">
        <f>F26+Table2[[#This Row],[DEPOSIT]]-Table2[[#This Row],[EXPENSE]]</f>
        <v>23300</v>
      </c>
      <c r="L27" s="3">
        <f>L26+Table4[[#This Row],[DEPOSIT]]-Table4[[#This Row],[EXPENSE]]</f>
        <v>6476</v>
      </c>
      <c r="N27" s="2">
        <v>46108</v>
      </c>
      <c r="O27" t="s">
        <v>26</v>
      </c>
      <c r="P27" s="7"/>
      <c r="Q27" s="6">
        <v>50000</v>
      </c>
      <c r="R27" s="3">
        <f>R26+Table44[[#This Row],[DEPOSIT]]-Table44[[#This Row],[EXPENSE]]</f>
        <v>488474</v>
      </c>
      <c r="V27" s="8">
        <v>0</v>
      </c>
      <c r="X27" s="6">
        <f>X26+Table6[[#This Row],[DEPOSIT]]-Table6[[#This Row],[EXPENSE]]</f>
        <v>397724</v>
      </c>
      <c r="AB27" s="8">
        <v>0</v>
      </c>
      <c r="AD27" s="3">
        <f>AD26+Table26[[#This Row],[DEPOSIT]]-Table26[[#This Row],[EXPENSE]]</f>
        <v>397724</v>
      </c>
      <c r="AH27" s="8">
        <v>0</v>
      </c>
      <c r="AJ27" s="3">
        <f>AJ26+Table48[[#This Row],[DEPOSIT]]-Table48[[#This Row],[EXPENSE]]</f>
        <v>397724</v>
      </c>
      <c r="AL27" s="2"/>
      <c r="AN27" s="8">
        <v>0</v>
      </c>
      <c r="AO27" s="8">
        <v>0</v>
      </c>
      <c r="AP27" s="3">
        <f>AP26+Table449[[#This Row],[DEPOSIT]]-Table449[[#This Row],[EXPENSE]]</f>
        <v>397724</v>
      </c>
      <c r="AT27" s="8">
        <v>0</v>
      </c>
      <c r="AV27" s="6">
        <f>AV26+Table610[[#This Row],[DEPOSIT]]-Table610[[#This Row],[EXPENSE]]</f>
        <v>397724</v>
      </c>
      <c r="AZ27" s="8">
        <v>0</v>
      </c>
      <c r="BB27" s="3">
        <f>BB26+Table2611[[#This Row],[DEPOSIT]]-Table2611[[#This Row],[EXPENSE]]</f>
        <v>397724</v>
      </c>
      <c r="BF27" s="8">
        <v>0</v>
      </c>
      <c r="BH27" s="3">
        <f>BH26+Table4812[[#This Row],[DEPOSIT]]-Table4812[[#This Row],[EXPENSE]]</f>
        <v>397724</v>
      </c>
      <c r="BJ27" s="2"/>
      <c r="BL27" s="8">
        <v>0</v>
      </c>
      <c r="BM27" s="8">
        <v>0</v>
      </c>
      <c r="BN27" s="3">
        <f>BN26+Table44913[[#This Row],[DEPOSIT]]-Table44913[[#This Row],[EXPENSE]]</f>
        <v>397724</v>
      </c>
      <c r="BR27" s="8">
        <v>0</v>
      </c>
      <c r="BT27" s="6">
        <f>BT26+Table61014[[#This Row],[DEPOSIT]]-Table61014[[#This Row],[EXPENSE]]</f>
        <v>397724</v>
      </c>
    </row>
    <row r="28" spans="6:72" x14ac:dyDescent="0.35">
      <c r="F28" s="3">
        <f>F27+Table2[[#This Row],[DEPOSIT]]-Table2[[#This Row],[EXPENSE]]</f>
        <v>23300</v>
      </c>
      <c r="L28" s="3">
        <f>L27+Table4[[#This Row],[DEPOSIT]]-Table4[[#This Row],[EXPENSE]]</f>
        <v>6476</v>
      </c>
      <c r="N28" s="2">
        <v>46109</v>
      </c>
      <c r="O28" t="s">
        <v>26</v>
      </c>
      <c r="P28" s="7"/>
      <c r="Q28" s="6">
        <v>50000</v>
      </c>
      <c r="R28" s="3">
        <f>R27+Table44[[#This Row],[DEPOSIT]]-Table44[[#This Row],[EXPENSE]]</f>
        <v>438474</v>
      </c>
      <c r="V28" s="8">
        <v>0</v>
      </c>
      <c r="X28" s="6">
        <f>X27+Table6[[#This Row],[DEPOSIT]]-Table6[[#This Row],[EXPENSE]]</f>
        <v>397724</v>
      </c>
      <c r="AB28" s="8">
        <v>0</v>
      </c>
      <c r="AD28" s="3">
        <f>AD27+Table26[[#This Row],[DEPOSIT]]-Table26[[#This Row],[EXPENSE]]</f>
        <v>397724</v>
      </c>
      <c r="AH28" s="8">
        <v>0</v>
      </c>
      <c r="AJ28" s="3">
        <f>AJ27+Table48[[#This Row],[DEPOSIT]]-Table48[[#This Row],[EXPENSE]]</f>
        <v>397724</v>
      </c>
      <c r="AL28" s="2"/>
      <c r="AN28" s="8">
        <v>0</v>
      </c>
      <c r="AO28" s="8">
        <v>0</v>
      </c>
      <c r="AP28" s="3">
        <f>AP27+Table449[[#This Row],[DEPOSIT]]-Table449[[#This Row],[EXPENSE]]</f>
        <v>397724</v>
      </c>
      <c r="AT28" s="8">
        <v>0</v>
      </c>
      <c r="AV28" s="6">
        <f>AV27+Table610[[#This Row],[DEPOSIT]]-Table610[[#This Row],[EXPENSE]]</f>
        <v>397724</v>
      </c>
      <c r="AZ28" s="8">
        <v>0</v>
      </c>
      <c r="BB28" s="3">
        <f>BB27+Table2611[[#This Row],[DEPOSIT]]-Table2611[[#This Row],[EXPENSE]]</f>
        <v>397724</v>
      </c>
      <c r="BF28" s="8">
        <v>0</v>
      </c>
      <c r="BH28" s="3">
        <f>BH27+Table4812[[#This Row],[DEPOSIT]]-Table4812[[#This Row],[EXPENSE]]</f>
        <v>397724</v>
      </c>
      <c r="BJ28" s="2"/>
      <c r="BL28" s="8">
        <v>0</v>
      </c>
      <c r="BM28" s="8">
        <v>0</v>
      </c>
      <c r="BN28" s="3">
        <f>BN27+Table44913[[#This Row],[DEPOSIT]]-Table44913[[#This Row],[EXPENSE]]</f>
        <v>397724</v>
      </c>
      <c r="BR28" s="8">
        <v>0</v>
      </c>
      <c r="BT28" s="6">
        <f>BT27+Table61014[[#This Row],[DEPOSIT]]-Table61014[[#This Row],[EXPENSE]]</f>
        <v>397724</v>
      </c>
    </row>
    <row r="29" spans="6:72" x14ac:dyDescent="0.35">
      <c r="F29" s="3">
        <f>F28+Table2[[#This Row],[DEPOSIT]]-Table2[[#This Row],[EXPENSE]]</f>
        <v>23300</v>
      </c>
      <c r="L29" s="3">
        <f>L28+Table4[[#This Row],[DEPOSIT]]-Table4[[#This Row],[EXPENSE]]</f>
        <v>6476</v>
      </c>
      <c r="N29" s="2">
        <v>46111</v>
      </c>
      <c r="O29" t="s">
        <v>26</v>
      </c>
      <c r="P29" s="7"/>
      <c r="Q29" s="6">
        <v>50000</v>
      </c>
      <c r="R29" s="3">
        <f>R28+Table44[[#This Row],[DEPOSIT]]-Table44[[#This Row],[EXPENSE]]</f>
        <v>388474</v>
      </c>
      <c r="V29" s="8">
        <v>0</v>
      </c>
      <c r="X29" s="6">
        <f>X28+Table6[[#This Row],[DEPOSIT]]-Table6[[#This Row],[EXPENSE]]</f>
        <v>397724</v>
      </c>
      <c r="AB29" s="8">
        <v>0</v>
      </c>
      <c r="AD29" s="3">
        <f>AD28+Table26[[#This Row],[DEPOSIT]]-Table26[[#This Row],[EXPENSE]]</f>
        <v>397724</v>
      </c>
      <c r="AH29" s="8">
        <v>0</v>
      </c>
      <c r="AJ29" s="3">
        <f>AJ28+Table48[[#This Row],[DEPOSIT]]-Table48[[#This Row],[EXPENSE]]</f>
        <v>397724</v>
      </c>
      <c r="AL29" s="2"/>
      <c r="AN29" s="8">
        <v>0</v>
      </c>
      <c r="AO29" s="8">
        <v>0</v>
      </c>
      <c r="AP29" s="3">
        <f>AP28+Table449[[#This Row],[DEPOSIT]]-Table449[[#This Row],[EXPENSE]]</f>
        <v>397724</v>
      </c>
      <c r="AT29" s="8">
        <v>0</v>
      </c>
      <c r="AV29" s="6">
        <f>AV28+Table610[[#This Row],[DEPOSIT]]-Table610[[#This Row],[EXPENSE]]</f>
        <v>397724</v>
      </c>
      <c r="AZ29" s="8">
        <v>0</v>
      </c>
      <c r="BB29" s="3">
        <f>BB28+Table2611[[#This Row],[DEPOSIT]]-Table2611[[#This Row],[EXPENSE]]</f>
        <v>397724</v>
      </c>
      <c r="BF29" s="8">
        <v>0</v>
      </c>
      <c r="BH29" s="3">
        <f>BH28+Table4812[[#This Row],[DEPOSIT]]-Table4812[[#This Row],[EXPENSE]]</f>
        <v>397724</v>
      </c>
      <c r="BJ29" s="2"/>
      <c r="BL29" s="8">
        <v>0</v>
      </c>
      <c r="BM29" s="8">
        <v>0</v>
      </c>
      <c r="BN29" s="3">
        <f>BN28+Table44913[[#This Row],[DEPOSIT]]-Table44913[[#This Row],[EXPENSE]]</f>
        <v>397724</v>
      </c>
      <c r="BR29" s="8">
        <v>0</v>
      </c>
      <c r="BT29" s="6">
        <f>BT28+Table61014[[#This Row],[DEPOSIT]]-Table61014[[#This Row],[EXPENSE]]</f>
        <v>397724</v>
      </c>
    </row>
    <row r="30" spans="6:72" x14ac:dyDescent="0.35">
      <c r="F30" s="3">
        <f>F29+Table2[[#This Row],[DEPOSIT]]-Table2[[#This Row],[EXPENSE]]</f>
        <v>23300</v>
      </c>
      <c r="L30" s="3">
        <f>L29+Table4[[#This Row],[DEPOSIT]]-Table4[[#This Row],[EXPENSE]]</f>
        <v>6476</v>
      </c>
      <c r="N30" s="2">
        <v>46112</v>
      </c>
      <c r="O30" t="s">
        <v>28</v>
      </c>
      <c r="P30" s="7"/>
      <c r="Q30" s="6">
        <v>50000</v>
      </c>
      <c r="R30" s="3">
        <f>R29+Table44[[#This Row],[DEPOSIT]]-Table44[[#This Row],[EXPENSE]]</f>
        <v>338474</v>
      </c>
      <c r="V30" s="8">
        <v>0</v>
      </c>
      <c r="X30" s="6">
        <f>X29+Table6[[#This Row],[DEPOSIT]]-Table6[[#This Row],[EXPENSE]]</f>
        <v>397724</v>
      </c>
      <c r="AB30" s="8">
        <v>0</v>
      </c>
      <c r="AD30" s="3">
        <f>AD29+Table26[[#This Row],[DEPOSIT]]-Table26[[#This Row],[EXPENSE]]</f>
        <v>397724</v>
      </c>
      <c r="AH30" s="8">
        <v>0</v>
      </c>
      <c r="AJ30" s="3">
        <f>AJ29+Table48[[#This Row],[DEPOSIT]]-Table48[[#This Row],[EXPENSE]]</f>
        <v>397724</v>
      </c>
      <c r="AL30" s="2"/>
      <c r="AN30" s="8">
        <v>0</v>
      </c>
      <c r="AO30" s="8">
        <v>0</v>
      </c>
      <c r="AP30" s="3">
        <f>AP29+Table449[[#This Row],[DEPOSIT]]-Table449[[#This Row],[EXPENSE]]</f>
        <v>397724</v>
      </c>
      <c r="AT30" s="8">
        <v>0</v>
      </c>
      <c r="AV30" s="6">
        <f>AV29+Table610[[#This Row],[DEPOSIT]]-Table610[[#This Row],[EXPENSE]]</f>
        <v>397724</v>
      </c>
      <c r="AZ30" s="8">
        <v>0</v>
      </c>
      <c r="BB30" s="3">
        <f>BB29+Table2611[[#This Row],[DEPOSIT]]-Table2611[[#This Row],[EXPENSE]]</f>
        <v>397724</v>
      </c>
      <c r="BF30" s="8">
        <v>0</v>
      </c>
      <c r="BH30" s="3">
        <f>BH29+Table4812[[#This Row],[DEPOSIT]]-Table4812[[#This Row],[EXPENSE]]</f>
        <v>397724</v>
      </c>
      <c r="BJ30" s="2"/>
      <c r="BL30" s="8">
        <v>0</v>
      </c>
      <c r="BM30" s="8">
        <v>0</v>
      </c>
      <c r="BN30" s="3">
        <f>BN29+Table44913[[#This Row],[DEPOSIT]]-Table44913[[#This Row],[EXPENSE]]</f>
        <v>397724</v>
      </c>
      <c r="BR30" s="8">
        <v>0</v>
      </c>
      <c r="BT30" s="6">
        <f>BT29+Table61014[[#This Row],[DEPOSIT]]-Table61014[[#This Row],[EXPENSE]]</f>
        <v>397724</v>
      </c>
    </row>
    <row r="45" spans="17:65" x14ac:dyDescent="0.35">
      <c r="Q45" t="s">
        <v>31</v>
      </c>
      <c r="AO45" t="s">
        <v>31</v>
      </c>
      <c r="BM45" t="s">
        <v>31</v>
      </c>
    </row>
  </sheetData>
  <phoneticPr fontId="2" type="noConversion"/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GOSTA</vt:lpstr>
      <vt:lpstr>PERAMARE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Malami Bilyaminu</dc:creator>
  <cp:lastModifiedBy>Aliyu Gosta</cp:lastModifiedBy>
  <dcterms:created xsi:type="dcterms:W3CDTF">2025-11-17T08:15:27Z</dcterms:created>
  <dcterms:modified xsi:type="dcterms:W3CDTF">2026-04-30T14:42:55Z</dcterms:modified>
</cp:coreProperties>
</file>