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8E21B9-19E3-47BE-9613-2481154679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fit and Loss" sheetId="4" r:id="rId1"/>
    <sheet name="DASHVOLT REVENUE SCHEDULE" sheetId="1" r:id="rId2"/>
    <sheet name="RIDER REVENUE SCHEDULE" sheetId="2" r:id="rId3"/>
    <sheet name="SHARE PER RID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C6" i="4" s="1"/>
  <c r="C4" i="4"/>
  <c r="C3" i="4" s="1"/>
  <c r="D5" i="4" s="1"/>
  <c r="D4" i="4" l="1"/>
  <c r="C18" i="4"/>
  <c r="D17" i="4"/>
  <c r="D14" i="4"/>
  <c r="D8" i="4"/>
  <c r="D6" i="4"/>
  <c r="D16" i="4"/>
  <c r="D3" i="4"/>
  <c r="D15" i="4"/>
  <c r="C10" i="4"/>
  <c r="D13" i="4"/>
  <c r="D7" i="4"/>
  <c r="C12" i="4" l="1"/>
  <c r="C20" i="4" s="1"/>
  <c r="D18" i="4"/>
  <c r="D10" i="4"/>
  <c r="D12" i="4" l="1"/>
  <c r="D20" i="4"/>
  <c r="D22" i="4"/>
  <c r="C24" i="4" l="1"/>
  <c r="D24" i="4" s="1"/>
  <c r="B61" i="1" l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60" i="1"/>
  <c r="H98" i="1"/>
  <c r="B94" i="1"/>
  <c r="B95" i="1" s="1"/>
  <c r="B96" i="1" s="1"/>
  <c r="B97" i="1" s="1"/>
  <c r="B29" i="2"/>
  <c r="C29" i="2"/>
  <c r="D29" i="2"/>
  <c r="E29" i="2"/>
  <c r="F29" i="2"/>
  <c r="G29" i="2"/>
  <c r="H29" i="2"/>
  <c r="I29" i="2"/>
  <c r="J29" i="2"/>
  <c r="B30" i="2"/>
  <c r="C30" i="2"/>
  <c r="D30" i="2"/>
  <c r="E30" i="2"/>
  <c r="F30" i="2"/>
  <c r="G30" i="2"/>
  <c r="H30" i="2"/>
  <c r="I30" i="2"/>
  <c r="J30" i="2"/>
  <c r="E8" i="1" l="1"/>
  <c r="G99" i="1" l="1"/>
  <c r="H7" i="1" l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2" i="2"/>
  <c r="I12" i="3" s="1"/>
  <c r="J6" i="2"/>
  <c r="J6" i="3" s="1"/>
  <c r="J7" i="2"/>
  <c r="J8" i="2"/>
  <c r="J8" i="3" s="1"/>
  <c r="J9" i="2"/>
  <c r="J9" i="3" s="1"/>
  <c r="J10" i="2"/>
  <c r="J10" i="3" s="1"/>
  <c r="J11" i="2"/>
  <c r="J11" i="3" s="1"/>
  <c r="J12" i="2"/>
  <c r="J12" i="3" s="1"/>
  <c r="J13" i="2"/>
  <c r="J13" i="3" s="1"/>
  <c r="J14" i="2"/>
  <c r="J14" i="3" s="1"/>
  <c r="J15" i="2"/>
  <c r="J15" i="3" s="1"/>
  <c r="J16" i="2"/>
  <c r="J16" i="3" s="1"/>
  <c r="J17" i="2"/>
  <c r="J17" i="3" s="1"/>
  <c r="J18" i="2"/>
  <c r="J18" i="3" s="1"/>
  <c r="J19" i="2"/>
  <c r="J19" i="3" s="1"/>
  <c r="J20" i="2"/>
  <c r="J20" i="3" s="1"/>
  <c r="J21" i="2"/>
  <c r="J21" i="3" s="1"/>
  <c r="J22" i="2"/>
  <c r="J22" i="3" s="1"/>
  <c r="J23" i="2"/>
  <c r="J23" i="3" s="1"/>
  <c r="J24" i="2"/>
  <c r="J24" i="3" s="1"/>
  <c r="J25" i="2"/>
  <c r="J25" i="3" s="1"/>
  <c r="J26" i="2"/>
  <c r="J26" i="3" s="1"/>
  <c r="J27" i="2"/>
  <c r="J27" i="3" s="1"/>
  <c r="J28" i="2"/>
  <c r="J28" i="3" s="1"/>
  <c r="J29" i="3"/>
  <c r="J30" i="3"/>
  <c r="J31" i="2"/>
  <c r="J31" i="3" s="1"/>
  <c r="J32" i="2"/>
  <c r="J32" i="3" s="1"/>
  <c r="J33" i="2"/>
  <c r="J33" i="3" s="1"/>
  <c r="J34" i="2"/>
  <c r="J34" i="3" s="1"/>
  <c r="J35" i="2"/>
  <c r="J35" i="3" s="1"/>
  <c r="J36" i="2"/>
  <c r="J36" i="3" s="1"/>
  <c r="J37" i="2"/>
  <c r="J37" i="3" s="1"/>
  <c r="J38" i="2"/>
  <c r="J38" i="3" s="1"/>
  <c r="J39" i="2"/>
  <c r="J39" i="3" s="1"/>
  <c r="J40" i="2"/>
  <c r="J40" i="3" s="1"/>
  <c r="J41" i="2"/>
  <c r="J41" i="3" s="1"/>
  <c r="J42" i="2"/>
  <c r="J42" i="3" s="1"/>
  <c r="J43" i="2"/>
  <c r="J43" i="3" s="1"/>
  <c r="J44" i="2"/>
  <c r="J44" i="3" s="1"/>
  <c r="J45" i="2"/>
  <c r="J45" i="3" s="1"/>
  <c r="J46" i="2"/>
  <c r="J46" i="3" s="1"/>
  <c r="J47" i="2"/>
  <c r="J47" i="3" s="1"/>
  <c r="J48" i="2"/>
  <c r="J48" i="3" s="1"/>
  <c r="J49" i="2"/>
  <c r="J49" i="3" s="1"/>
  <c r="J50" i="2"/>
  <c r="J50" i="3" s="1"/>
  <c r="J51" i="2"/>
  <c r="J51" i="3" s="1"/>
  <c r="J52" i="2"/>
  <c r="J52" i="3" s="1"/>
  <c r="J53" i="2"/>
  <c r="J53" i="3" s="1"/>
  <c r="J54" i="2"/>
  <c r="J54" i="3" s="1"/>
  <c r="J55" i="2"/>
  <c r="J55" i="3" s="1"/>
  <c r="J56" i="2"/>
  <c r="J56" i="3" s="1"/>
  <c r="J57" i="2"/>
  <c r="J57" i="3" s="1"/>
  <c r="J58" i="2"/>
  <c r="J58" i="3" s="1"/>
  <c r="J59" i="2"/>
  <c r="J59" i="3" s="1"/>
  <c r="J60" i="2"/>
  <c r="J60" i="3" s="1"/>
  <c r="J61" i="2"/>
  <c r="J61" i="3" s="1"/>
  <c r="J62" i="2"/>
  <c r="J62" i="3" s="1"/>
  <c r="J63" i="2"/>
  <c r="J63" i="3" s="1"/>
  <c r="J64" i="2"/>
  <c r="J64" i="3" s="1"/>
  <c r="J65" i="2"/>
  <c r="J65" i="3" s="1"/>
  <c r="J66" i="2"/>
  <c r="J66" i="3" s="1"/>
  <c r="J67" i="2"/>
  <c r="J67" i="3" s="1"/>
  <c r="J68" i="2"/>
  <c r="J68" i="3" s="1"/>
  <c r="J69" i="2"/>
  <c r="J69" i="3" s="1"/>
  <c r="J70" i="2"/>
  <c r="J70" i="3" s="1"/>
  <c r="J71" i="2"/>
  <c r="J71" i="3" s="1"/>
  <c r="J72" i="2"/>
  <c r="J72" i="3" s="1"/>
  <c r="J73" i="2"/>
  <c r="J73" i="3" s="1"/>
  <c r="J74" i="2"/>
  <c r="J74" i="3" s="1"/>
  <c r="J75" i="2"/>
  <c r="J75" i="3" s="1"/>
  <c r="J76" i="2"/>
  <c r="J76" i="3" s="1"/>
  <c r="J77" i="2"/>
  <c r="J77" i="3" s="1"/>
  <c r="J78" i="2"/>
  <c r="J78" i="3" s="1"/>
  <c r="J79" i="2"/>
  <c r="J79" i="3" s="1"/>
  <c r="J80" i="2"/>
  <c r="J80" i="3" s="1"/>
  <c r="J81" i="2"/>
  <c r="J81" i="3" s="1"/>
  <c r="J82" i="2"/>
  <c r="J82" i="3" s="1"/>
  <c r="J83" i="2"/>
  <c r="J83" i="3" s="1"/>
  <c r="J84" i="2"/>
  <c r="J84" i="3" s="1"/>
  <c r="J85" i="2"/>
  <c r="J85" i="3" s="1"/>
  <c r="J86" i="2"/>
  <c r="J86" i="3" s="1"/>
  <c r="J87" i="2"/>
  <c r="J87" i="3" s="1"/>
  <c r="J88" i="2"/>
  <c r="J88" i="3" s="1"/>
  <c r="J89" i="2"/>
  <c r="J89" i="3" s="1"/>
  <c r="J90" i="2"/>
  <c r="J90" i="3" s="1"/>
  <c r="J91" i="2"/>
  <c r="J91" i="3" s="1"/>
  <c r="J92" i="2"/>
  <c r="J92" i="3" s="1"/>
  <c r="J93" i="2"/>
  <c r="J93" i="3" s="1"/>
  <c r="J94" i="2"/>
  <c r="J94" i="3" s="1"/>
  <c r="J95" i="2"/>
  <c r="J95" i="3" s="1"/>
  <c r="J96" i="2"/>
  <c r="J96" i="3" s="1"/>
  <c r="J97" i="2"/>
  <c r="I6" i="2"/>
  <c r="I6" i="3" s="1"/>
  <c r="I7" i="2"/>
  <c r="I8" i="2"/>
  <c r="I8" i="3" s="1"/>
  <c r="I9" i="2"/>
  <c r="I9" i="3" s="1"/>
  <c r="I10" i="2"/>
  <c r="I10" i="3" s="1"/>
  <c r="I11" i="2"/>
  <c r="I11" i="3" s="1"/>
  <c r="I13" i="2"/>
  <c r="I13" i="3" s="1"/>
  <c r="I14" i="2"/>
  <c r="I14" i="3" s="1"/>
  <c r="I15" i="2"/>
  <c r="I15" i="3" s="1"/>
  <c r="I16" i="2"/>
  <c r="I16" i="3" s="1"/>
  <c r="I17" i="2"/>
  <c r="I17" i="3" s="1"/>
  <c r="I18" i="2"/>
  <c r="I18" i="3" s="1"/>
  <c r="I19" i="2"/>
  <c r="I19" i="3" s="1"/>
  <c r="I20" i="2"/>
  <c r="I20" i="3" s="1"/>
  <c r="I21" i="2"/>
  <c r="I21" i="3" s="1"/>
  <c r="I22" i="2"/>
  <c r="I22" i="3" s="1"/>
  <c r="I23" i="2"/>
  <c r="I23" i="3" s="1"/>
  <c r="I24" i="2"/>
  <c r="I24" i="3" s="1"/>
  <c r="I25" i="2"/>
  <c r="I25" i="3" s="1"/>
  <c r="I26" i="2"/>
  <c r="I26" i="3" s="1"/>
  <c r="I27" i="2"/>
  <c r="I27" i="3" s="1"/>
  <c r="I28" i="2"/>
  <c r="I28" i="3" s="1"/>
  <c r="I29" i="3"/>
  <c r="I30" i="3"/>
  <c r="I31" i="2"/>
  <c r="I31" i="3" s="1"/>
  <c r="I32" i="2"/>
  <c r="I32" i="3" s="1"/>
  <c r="I33" i="2"/>
  <c r="I33" i="3" s="1"/>
  <c r="I34" i="2"/>
  <c r="I34" i="3" s="1"/>
  <c r="I35" i="2"/>
  <c r="I35" i="3" s="1"/>
  <c r="I36" i="2"/>
  <c r="I36" i="3" s="1"/>
  <c r="I37" i="2"/>
  <c r="I37" i="3" s="1"/>
  <c r="I38" i="2"/>
  <c r="I38" i="3" s="1"/>
  <c r="I39" i="2"/>
  <c r="I39" i="3" s="1"/>
  <c r="I40" i="2"/>
  <c r="I40" i="3" s="1"/>
  <c r="I41" i="2"/>
  <c r="I41" i="3" s="1"/>
  <c r="I42" i="2"/>
  <c r="I42" i="3" s="1"/>
  <c r="I43" i="2"/>
  <c r="I43" i="3" s="1"/>
  <c r="I44" i="2"/>
  <c r="I44" i="3" s="1"/>
  <c r="I45" i="2"/>
  <c r="I45" i="3" s="1"/>
  <c r="I46" i="2"/>
  <c r="I46" i="3" s="1"/>
  <c r="I47" i="2"/>
  <c r="I47" i="3" s="1"/>
  <c r="I48" i="2"/>
  <c r="I48" i="3" s="1"/>
  <c r="I49" i="2"/>
  <c r="I49" i="3" s="1"/>
  <c r="I50" i="2"/>
  <c r="I50" i="3" s="1"/>
  <c r="I51" i="2"/>
  <c r="I51" i="3" s="1"/>
  <c r="I52" i="2"/>
  <c r="I52" i="3" s="1"/>
  <c r="I53" i="2"/>
  <c r="I53" i="3" s="1"/>
  <c r="I54" i="2"/>
  <c r="I54" i="3" s="1"/>
  <c r="I55" i="2"/>
  <c r="I55" i="3" s="1"/>
  <c r="I56" i="2"/>
  <c r="I56" i="3" s="1"/>
  <c r="I57" i="2"/>
  <c r="I57" i="3" s="1"/>
  <c r="I58" i="2"/>
  <c r="I58" i="3" s="1"/>
  <c r="I59" i="2"/>
  <c r="I59" i="3" s="1"/>
  <c r="I60" i="2"/>
  <c r="I60" i="3" s="1"/>
  <c r="I61" i="2"/>
  <c r="I61" i="3" s="1"/>
  <c r="I62" i="2"/>
  <c r="I62" i="3" s="1"/>
  <c r="I63" i="2"/>
  <c r="I63" i="3" s="1"/>
  <c r="I64" i="2"/>
  <c r="I64" i="3" s="1"/>
  <c r="I65" i="2"/>
  <c r="I65" i="3" s="1"/>
  <c r="I66" i="2"/>
  <c r="I66" i="3" s="1"/>
  <c r="I67" i="2"/>
  <c r="I67" i="3" s="1"/>
  <c r="I68" i="2"/>
  <c r="I68" i="3" s="1"/>
  <c r="I69" i="2"/>
  <c r="I69" i="3" s="1"/>
  <c r="I70" i="2"/>
  <c r="I70" i="3" s="1"/>
  <c r="I71" i="2"/>
  <c r="I71" i="3" s="1"/>
  <c r="I72" i="2"/>
  <c r="I72" i="3" s="1"/>
  <c r="I73" i="2"/>
  <c r="I73" i="3" s="1"/>
  <c r="I74" i="2"/>
  <c r="I74" i="3" s="1"/>
  <c r="I75" i="2"/>
  <c r="I75" i="3" s="1"/>
  <c r="I76" i="2"/>
  <c r="I76" i="3" s="1"/>
  <c r="I77" i="2"/>
  <c r="I77" i="3" s="1"/>
  <c r="I78" i="2"/>
  <c r="I78" i="3" s="1"/>
  <c r="I79" i="2"/>
  <c r="I79" i="3" s="1"/>
  <c r="I80" i="2"/>
  <c r="I80" i="3" s="1"/>
  <c r="I81" i="2"/>
  <c r="I81" i="3" s="1"/>
  <c r="I82" i="2"/>
  <c r="I82" i="3" s="1"/>
  <c r="I83" i="2"/>
  <c r="I83" i="3" s="1"/>
  <c r="I84" i="2"/>
  <c r="I84" i="3" s="1"/>
  <c r="I85" i="2"/>
  <c r="I85" i="3" s="1"/>
  <c r="I86" i="2"/>
  <c r="I86" i="3" s="1"/>
  <c r="I87" i="2"/>
  <c r="I87" i="3" s="1"/>
  <c r="I88" i="2"/>
  <c r="I88" i="3" s="1"/>
  <c r="I89" i="2"/>
  <c r="I89" i="3" s="1"/>
  <c r="I90" i="2"/>
  <c r="I90" i="3" s="1"/>
  <c r="I91" i="2"/>
  <c r="I91" i="3" s="1"/>
  <c r="I92" i="2"/>
  <c r="I92" i="3" s="1"/>
  <c r="I93" i="2"/>
  <c r="I93" i="3" s="1"/>
  <c r="I94" i="2"/>
  <c r="I94" i="3" s="1"/>
  <c r="I95" i="2"/>
  <c r="I95" i="3" s="1"/>
  <c r="I96" i="2"/>
  <c r="I96" i="3" s="1"/>
  <c r="I97" i="2"/>
  <c r="H6" i="2"/>
  <c r="H6" i="3" s="1"/>
  <c r="H7" i="2"/>
  <c r="H8" i="2"/>
  <c r="H8" i="3" s="1"/>
  <c r="H9" i="2"/>
  <c r="H9" i="3" s="1"/>
  <c r="H10" i="2"/>
  <c r="H10" i="3" s="1"/>
  <c r="H11" i="2"/>
  <c r="H11" i="3" s="1"/>
  <c r="H12" i="2"/>
  <c r="H12" i="3" s="1"/>
  <c r="H13" i="2"/>
  <c r="H13" i="3" s="1"/>
  <c r="H14" i="2"/>
  <c r="H14" i="3" s="1"/>
  <c r="H15" i="2"/>
  <c r="H15" i="3" s="1"/>
  <c r="H16" i="2"/>
  <c r="H16" i="3" s="1"/>
  <c r="H17" i="2"/>
  <c r="H17" i="3" s="1"/>
  <c r="H18" i="2"/>
  <c r="H18" i="3" s="1"/>
  <c r="H19" i="2"/>
  <c r="H19" i="3" s="1"/>
  <c r="H20" i="2"/>
  <c r="H20" i="3" s="1"/>
  <c r="H21" i="2"/>
  <c r="H21" i="3" s="1"/>
  <c r="H22" i="2"/>
  <c r="H22" i="3" s="1"/>
  <c r="H23" i="2"/>
  <c r="H23" i="3" s="1"/>
  <c r="H24" i="2"/>
  <c r="H24" i="3" s="1"/>
  <c r="H25" i="2"/>
  <c r="H25" i="3" s="1"/>
  <c r="H26" i="2"/>
  <c r="H26" i="3" s="1"/>
  <c r="H27" i="2"/>
  <c r="H27" i="3" s="1"/>
  <c r="H28" i="2"/>
  <c r="H28" i="3" s="1"/>
  <c r="H29" i="3"/>
  <c r="H30" i="3"/>
  <c r="H31" i="2"/>
  <c r="H31" i="3" s="1"/>
  <c r="H32" i="2"/>
  <c r="H32" i="3" s="1"/>
  <c r="H33" i="2"/>
  <c r="H33" i="3" s="1"/>
  <c r="H34" i="2"/>
  <c r="H34" i="3" s="1"/>
  <c r="H35" i="2"/>
  <c r="H35" i="3" s="1"/>
  <c r="H36" i="2"/>
  <c r="H36" i="3" s="1"/>
  <c r="H37" i="2"/>
  <c r="H37" i="3" s="1"/>
  <c r="H38" i="2"/>
  <c r="H38" i="3" s="1"/>
  <c r="H39" i="2"/>
  <c r="H39" i="3" s="1"/>
  <c r="H40" i="2"/>
  <c r="H40" i="3" s="1"/>
  <c r="H41" i="2"/>
  <c r="H41" i="3" s="1"/>
  <c r="H42" i="2"/>
  <c r="H42" i="3" s="1"/>
  <c r="H43" i="2"/>
  <c r="H43" i="3" s="1"/>
  <c r="H44" i="2"/>
  <c r="H44" i="3" s="1"/>
  <c r="H45" i="2"/>
  <c r="H45" i="3" s="1"/>
  <c r="H46" i="2"/>
  <c r="H46" i="3" s="1"/>
  <c r="H47" i="2"/>
  <c r="H47" i="3" s="1"/>
  <c r="H48" i="2"/>
  <c r="H48" i="3" s="1"/>
  <c r="H49" i="2"/>
  <c r="H49" i="3" s="1"/>
  <c r="H50" i="2"/>
  <c r="H50" i="3" s="1"/>
  <c r="H51" i="2"/>
  <c r="H51" i="3" s="1"/>
  <c r="H52" i="2"/>
  <c r="H52" i="3" s="1"/>
  <c r="H53" i="2"/>
  <c r="H53" i="3" s="1"/>
  <c r="H54" i="2"/>
  <c r="H54" i="3" s="1"/>
  <c r="H55" i="2"/>
  <c r="H55" i="3" s="1"/>
  <c r="H56" i="2"/>
  <c r="H56" i="3" s="1"/>
  <c r="H57" i="2"/>
  <c r="H57" i="3" s="1"/>
  <c r="H58" i="2"/>
  <c r="H58" i="3" s="1"/>
  <c r="H59" i="2"/>
  <c r="H59" i="3" s="1"/>
  <c r="H60" i="2"/>
  <c r="H60" i="3" s="1"/>
  <c r="H61" i="2"/>
  <c r="H61" i="3" s="1"/>
  <c r="H62" i="2"/>
  <c r="H62" i="3" s="1"/>
  <c r="H63" i="2"/>
  <c r="H63" i="3" s="1"/>
  <c r="H64" i="2"/>
  <c r="H64" i="3" s="1"/>
  <c r="H65" i="2"/>
  <c r="H65" i="3" s="1"/>
  <c r="H66" i="2"/>
  <c r="H66" i="3" s="1"/>
  <c r="H67" i="2"/>
  <c r="H67" i="3" s="1"/>
  <c r="H68" i="2"/>
  <c r="H68" i="3" s="1"/>
  <c r="H69" i="2"/>
  <c r="H69" i="3" s="1"/>
  <c r="H70" i="2"/>
  <c r="H70" i="3" s="1"/>
  <c r="H71" i="2"/>
  <c r="H71" i="3" s="1"/>
  <c r="H72" i="2"/>
  <c r="H72" i="3" s="1"/>
  <c r="H73" i="2"/>
  <c r="H73" i="3" s="1"/>
  <c r="H74" i="2"/>
  <c r="H74" i="3" s="1"/>
  <c r="H75" i="2"/>
  <c r="H75" i="3" s="1"/>
  <c r="H76" i="2"/>
  <c r="H76" i="3" s="1"/>
  <c r="H77" i="2"/>
  <c r="H77" i="3" s="1"/>
  <c r="H78" i="2"/>
  <c r="H78" i="3" s="1"/>
  <c r="H79" i="2"/>
  <c r="H79" i="3" s="1"/>
  <c r="H80" i="2"/>
  <c r="H80" i="3" s="1"/>
  <c r="H81" i="2"/>
  <c r="H81" i="3" s="1"/>
  <c r="H82" i="2"/>
  <c r="H82" i="3" s="1"/>
  <c r="H83" i="2"/>
  <c r="H83" i="3" s="1"/>
  <c r="H84" i="2"/>
  <c r="H84" i="3" s="1"/>
  <c r="H85" i="2"/>
  <c r="H85" i="3" s="1"/>
  <c r="H86" i="2"/>
  <c r="H86" i="3" s="1"/>
  <c r="H87" i="2"/>
  <c r="H87" i="3" s="1"/>
  <c r="H88" i="2"/>
  <c r="H88" i="3" s="1"/>
  <c r="H89" i="2"/>
  <c r="H89" i="3" s="1"/>
  <c r="H90" i="2"/>
  <c r="H90" i="3" s="1"/>
  <c r="H91" i="2"/>
  <c r="H91" i="3" s="1"/>
  <c r="H92" i="2"/>
  <c r="H92" i="3" s="1"/>
  <c r="H93" i="2"/>
  <c r="H93" i="3" s="1"/>
  <c r="H94" i="2"/>
  <c r="H94" i="3" s="1"/>
  <c r="H95" i="2"/>
  <c r="H95" i="3" s="1"/>
  <c r="H96" i="2"/>
  <c r="H96" i="3" s="1"/>
  <c r="H97" i="2"/>
  <c r="G6" i="2"/>
  <c r="G7" i="2"/>
  <c r="G8" i="2"/>
  <c r="G8" i="3" s="1"/>
  <c r="G9" i="2"/>
  <c r="G9" i="3" s="1"/>
  <c r="G10" i="2"/>
  <c r="G10" i="3" s="1"/>
  <c r="G11" i="2"/>
  <c r="G11" i="3" s="1"/>
  <c r="G12" i="2"/>
  <c r="G12" i="3" s="1"/>
  <c r="G13" i="2"/>
  <c r="G13" i="3" s="1"/>
  <c r="G14" i="2"/>
  <c r="G14" i="3" s="1"/>
  <c r="G15" i="2"/>
  <c r="G15" i="3" s="1"/>
  <c r="G16" i="2"/>
  <c r="G16" i="3" s="1"/>
  <c r="G17" i="2"/>
  <c r="G17" i="3" s="1"/>
  <c r="G18" i="2"/>
  <c r="G18" i="3" s="1"/>
  <c r="G19" i="2"/>
  <c r="G19" i="3" s="1"/>
  <c r="G20" i="2"/>
  <c r="G20" i="3" s="1"/>
  <c r="G21" i="2"/>
  <c r="G21" i="3" s="1"/>
  <c r="G22" i="2"/>
  <c r="G22" i="3" s="1"/>
  <c r="G23" i="2"/>
  <c r="G23" i="3" s="1"/>
  <c r="G24" i="2"/>
  <c r="G24" i="3" s="1"/>
  <c r="G25" i="2"/>
  <c r="G25" i="3" s="1"/>
  <c r="G26" i="2"/>
  <c r="G26" i="3" s="1"/>
  <c r="G27" i="2"/>
  <c r="G27" i="3" s="1"/>
  <c r="G28" i="2"/>
  <c r="G28" i="3" s="1"/>
  <c r="G29" i="3"/>
  <c r="G30" i="3"/>
  <c r="G31" i="2"/>
  <c r="G31" i="3" s="1"/>
  <c r="G32" i="2"/>
  <c r="G32" i="3" s="1"/>
  <c r="G33" i="2"/>
  <c r="G33" i="3" s="1"/>
  <c r="G34" i="2"/>
  <c r="G34" i="3" s="1"/>
  <c r="G35" i="2"/>
  <c r="G35" i="3" s="1"/>
  <c r="G36" i="2"/>
  <c r="G36" i="3" s="1"/>
  <c r="G37" i="2"/>
  <c r="G37" i="3" s="1"/>
  <c r="G38" i="2"/>
  <c r="G38" i="3" s="1"/>
  <c r="G39" i="2"/>
  <c r="G39" i="3" s="1"/>
  <c r="G40" i="2"/>
  <c r="G40" i="3" s="1"/>
  <c r="G41" i="2"/>
  <c r="G41" i="3" s="1"/>
  <c r="G42" i="2"/>
  <c r="G42" i="3" s="1"/>
  <c r="G43" i="2"/>
  <c r="G43" i="3" s="1"/>
  <c r="G44" i="2"/>
  <c r="G44" i="3" s="1"/>
  <c r="G45" i="2"/>
  <c r="G45" i="3" s="1"/>
  <c r="G46" i="2"/>
  <c r="G46" i="3" s="1"/>
  <c r="G47" i="2"/>
  <c r="G47" i="3" s="1"/>
  <c r="G48" i="2"/>
  <c r="G48" i="3" s="1"/>
  <c r="G49" i="2"/>
  <c r="G49" i="3" s="1"/>
  <c r="G50" i="2"/>
  <c r="G50" i="3" s="1"/>
  <c r="G51" i="2"/>
  <c r="G51" i="3" s="1"/>
  <c r="G52" i="2"/>
  <c r="G52" i="3" s="1"/>
  <c r="G53" i="2"/>
  <c r="G53" i="3" s="1"/>
  <c r="G54" i="2"/>
  <c r="G54" i="3" s="1"/>
  <c r="G55" i="2"/>
  <c r="G55" i="3" s="1"/>
  <c r="G56" i="2"/>
  <c r="G56" i="3" s="1"/>
  <c r="G57" i="2"/>
  <c r="G57" i="3" s="1"/>
  <c r="G58" i="2"/>
  <c r="G58" i="3" s="1"/>
  <c r="G59" i="2"/>
  <c r="G59" i="3" s="1"/>
  <c r="G60" i="2"/>
  <c r="G60" i="3" s="1"/>
  <c r="G61" i="2"/>
  <c r="G61" i="3" s="1"/>
  <c r="G62" i="2"/>
  <c r="G62" i="3" s="1"/>
  <c r="G63" i="2"/>
  <c r="G63" i="3" s="1"/>
  <c r="G64" i="2"/>
  <c r="G64" i="3" s="1"/>
  <c r="G65" i="2"/>
  <c r="G65" i="3" s="1"/>
  <c r="G66" i="2"/>
  <c r="G66" i="3" s="1"/>
  <c r="G67" i="2"/>
  <c r="G67" i="3" s="1"/>
  <c r="G68" i="2"/>
  <c r="G68" i="3" s="1"/>
  <c r="G69" i="2"/>
  <c r="G69" i="3" s="1"/>
  <c r="G70" i="2"/>
  <c r="G70" i="3" s="1"/>
  <c r="G71" i="2"/>
  <c r="G71" i="3" s="1"/>
  <c r="G72" i="2"/>
  <c r="G72" i="3" s="1"/>
  <c r="G73" i="2"/>
  <c r="G73" i="3" s="1"/>
  <c r="G74" i="2"/>
  <c r="G74" i="3" s="1"/>
  <c r="G75" i="2"/>
  <c r="G75" i="3" s="1"/>
  <c r="G76" i="2"/>
  <c r="G76" i="3" s="1"/>
  <c r="G77" i="2"/>
  <c r="G77" i="3" s="1"/>
  <c r="G78" i="2"/>
  <c r="G78" i="3" s="1"/>
  <c r="G79" i="2"/>
  <c r="G79" i="3" s="1"/>
  <c r="G80" i="2"/>
  <c r="G80" i="3" s="1"/>
  <c r="G81" i="2"/>
  <c r="G81" i="3" s="1"/>
  <c r="G82" i="2"/>
  <c r="G82" i="3" s="1"/>
  <c r="G83" i="2"/>
  <c r="G83" i="3" s="1"/>
  <c r="G84" i="2"/>
  <c r="G84" i="3" s="1"/>
  <c r="G85" i="2"/>
  <c r="G85" i="3" s="1"/>
  <c r="G86" i="2"/>
  <c r="G86" i="3" s="1"/>
  <c r="G87" i="2"/>
  <c r="G87" i="3" s="1"/>
  <c r="G88" i="2"/>
  <c r="G88" i="3" s="1"/>
  <c r="G89" i="2"/>
  <c r="G89" i="3" s="1"/>
  <c r="G90" i="2"/>
  <c r="G90" i="3" s="1"/>
  <c r="G91" i="2"/>
  <c r="G91" i="3" s="1"/>
  <c r="G92" i="2"/>
  <c r="G92" i="3" s="1"/>
  <c r="G93" i="2"/>
  <c r="G93" i="3" s="1"/>
  <c r="G94" i="2"/>
  <c r="G94" i="3" s="1"/>
  <c r="G95" i="2"/>
  <c r="G95" i="3" s="1"/>
  <c r="G96" i="2"/>
  <c r="G96" i="3" s="1"/>
  <c r="G97" i="3"/>
  <c r="G97" i="2"/>
  <c r="F6" i="2"/>
  <c r="F6" i="3" s="1"/>
  <c r="F7" i="2"/>
  <c r="F8" i="2"/>
  <c r="F8" i="3" s="1"/>
  <c r="F9" i="2"/>
  <c r="F9" i="3" s="1"/>
  <c r="F10" i="2"/>
  <c r="F10" i="3" s="1"/>
  <c r="F11" i="2"/>
  <c r="F11" i="3" s="1"/>
  <c r="F12" i="2"/>
  <c r="F12" i="3" s="1"/>
  <c r="F13" i="2"/>
  <c r="F13" i="3" s="1"/>
  <c r="F14" i="2"/>
  <c r="F14" i="3" s="1"/>
  <c r="F15" i="2"/>
  <c r="F15" i="3" s="1"/>
  <c r="F16" i="2"/>
  <c r="F16" i="3" s="1"/>
  <c r="F17" i="2"/>
  <c r="F17" i="3" s="1"/>
  <c r="F18" i="2"/>
  <c r="F18" i="3" s="1"/>
  <c r="F19" i="2"/>
  <c r="F19" i="3" s="1"/>
  <c r="F20" i="2"/>
  <c r="F20" i="3" s="1"/>
  <c r="F21" i="2"/>
  <c r="F21" i="3" s="1"/>
  <c r="F22" i="2"/>
  <c r="F22" i="3" s="1"/>
  <c r="F23" i="2"/>
  <c r="F23" i="3" s="1"/>
  <c r="F24" i="2"/>
  <c r="F24" i="3" s="1"/>
  <c r="F25" i="2"/>
  <c r="F25" i="3" s="1"/>
  <c r="F26" i="2"/>
  <c r="F26" i="3" s="1"/>
  <c r="F27" i="2"/>
  <c r="F27" i="3" s="1"/>
  <c r="F28" i="2"/>
  <c r="F28" i="3" s="1"/>
  <c r="F29" i="3"/>
  <c r="F30" i="3"/>
  <c r="F31" i="2"/>
  <c r="F31" i="3" s="1"/>
  <c r="F32" i="2"/>
  <c r="F32" i="3" s="1"/>
  <c r="F33" i="2"/>
  <c r="F33" i="3" s="1"/>
  <c r="F34" i="2"/>
  <c r="F34" i="3" s="1"/>
  <c r="F35" i="2"/>
  <c r="F35" i="3" s="1"/>
  <c r="F36" i="2"/>
  <c r="F36" i="3" s="1"/>
  <c r="F37" i="2"/>
  <c r="F37" i="3" s="1"/>
  <c r="F38" i="2"/>
  <c r="F38" i="3" s="1"/>
  <c r="F39" i="2"/>
  <c r="F39" i="3" s="1"/>
  <c r="F40" i="2"/>
  <c r="F40" i="3" s="1"/>
  <c r="F41" i="2"/>
  <c r="F41" i="3" s="1"/>
  <c r="F42" i="2"/>
  <c r="F42" i="3" s="1"/>
  <c r="F43" i="2"/>
  <c r="F43" i="3" s="1"/>
  <c r="F44" i="2"/>
  <c r="F44" i="3" s="1"/>
  <c r="F45" i="2"/>
  <c r="F45" i="3" s="1"/>
  <c r="F46" i="2"/>
  <c r="F46" i="3" s="1"/>
  <c r="F47" i="2"/>
  <c r="F47" i="3" s="1"/>
  <c r="F48" i="2"/>
  <c r="F48" i="3" s="1"/>
  <c r="F49" i="2"/>
  <c r="F49" i="3" s="1"/>
  <c r="F50" i="2"/>
  <c r="F50" i="3" s="1"/>
  <c r="F51" i="2"/>
  <c r="F51" i="3" s="1"/>
  <c r="F52" i="2"/>
  <c r="F52" i="3" s="1"/>
  <c r="F53" i="2"/>
  <c r="F53" i="3" s="1"/>
  <c r="F54" i="2"/>
  <c r="F54" i="3" s="1"/>
  <c r="F55" i="2"/>
  <c r="F55" i="3" s="1"/>
  <c r="F56" i="2"/>
  <c r="F56" i="3" s="1"/>
  <c r="F57" i="2"/>
  <c r="F57" i="3" s="1"/>
  <c r="F58" i="2"/>
  <c r="F58" i="3" s="1"/>
  <c r="F59" i="2"/>
  <c r="F59" i="3" s="1"/>
  <c r="F60" i="2"/>
  <c r="F60" i="3" s="1"/>
  <c r="F61" i="2"/>
  <c r="F61" i="3" s="1"/>
  <c r="F62" i="2"/>
  <c r="F62" i="3" s="1"/>
  <c r="F63" i="2"/>
  <c r="F63" i="3" s="1"/>
  <c r="F64" i="2"/>
  <c r="F64" i="3" s="1"/>
  <c r="F65" i="2"/>
  <c r="F65" i="3" s="1"/>
  <c r="F66" i="2"/>
  <c r="F66" i="3" s="1"/>
  <c r="F67" i="2"/>
  <c r="F67" i="3" s="1"/>
  <c r="F68" i="2"/>
  <c r="F68" i="3" s="1"/>
  <c r="F69" i="2"/>
  <c r="F69" i="3" s="1"/>
  <c r="F70" i="2"/>
  <c r="F70" i="3" s="1"/>
  <c r="F71" i="2"/>
  <c r="F71" i="3" s="1"/>
  <c r="F72" i="2"/>
  <c r="F72" i="3" s="1"/>
  <c r="F73" i="2"/>
  <c r="F73" i="3" s="1"/>
  <c r="F74" i="2"/>
  <c r="F74" i="3" s="1"/>
  <c r="F75" i="2"/>
  <c r="F75" i="3" s="1"/>
  <c r="F76" i="2"/>
  <c r="F76" i="3" s="1"/>
  <c r="F77" i="2"/>
  <c r="F77" i="3" s="1"/>
  <c r="F78" i="2"/>
  <c r="F78" i="3" s="1"/>
  <c r="F79" i="2"/>
  <c r="F79" i="3" s="1"/>
  <c r="F80" i="2"/>
  <c r="F80" i="3" s="1"/>
  <c r="F81" i="2"/>
  <c r="F81" i="3" s="1"/>
  <c r="F82" i="2"/>
  <c r="F82" i="3" s="1"/>
  <c r="F83" i="2"/>
  <c r="F83" i="3" s="1"/>
  <c r="F84" i="2"/>
  <c r="F84" i="3" s="1"/>
  <c r="F85" i="2"/>
  <c r="F85" i="3" s="1"/>
  <c r="F86" i="2"/>
  <c r="F86" i="3" s="1"/>
  <c r="F87" i="2"/>
  <c r="F87" i="3" s="1"/>
  <c r="F88" i="2"/>
  <c r="F88" i="3" s="1"/>
  <c r="F89" i="2"/>
  <c r="F89" i="3" s="1"/>
  <c r="F90" i="2"/>
  <c r="F90" i="3" s="1"/>
  <c r="F91" i="2"/>
  <c r="F91" i="3" s="1"/>
  <c r="F92" i="2"/>
  <c r="F92" i="3" s="1"/>
  <c r="F93" i="2"/>
  <c r="F93" i="3" s="1"/>
  <c r="F94" i="2"/>
  <c r="F94" i="3" s="1"/>
  <c r="F95" i="2"/>
  <c r="F95" i="3" s="1"/>
  <c r="F96" i="2"/>
  <c r="F96" i="3" s="1"/>
  <c r="F97" i="3"/>
  <c r="F97" i="2"/>
  <c r="E6" i="2"/>
  <c r="E6" i="3" s="1"/>
  <c r="E7" i="2"/>
  <c r="E7" i="3" s="1"/>
  <c r="E8" i="2"/>
  <c r="E8" i="3" s="1"/>
  <c r="E9" i="2"/>
  <c r="E9" i="3" s="1"/>
  <c r="E10" i="2"/>
  <c r="E10" i="3" s="1"/>
  <c r="E11" i="2"/>
  <c r="E11" i="3" s="1"/>
  <c r="E12" i="2"/>
  <c r="E12" i="3" s="1"/>
  <c r="E13" i="2"/>
  <c r="E13" i="3" s="1"/>
  <c r="E14" i="2"/>
  <c r="E14" i="3" s="1"/>
  <c r="E15" i="2"/>
  <c r="E15" i="3" s="1"/>
  <c r="E16" i="2"/>
  <c r="E16" i="3" s="1"/>
  <c r="E17" i="2"/>
  <c r="E17" i="3" s="1"/>
  <c r="E18" i="2"/>
  <c r="E18" i="3" s="1"/>
  <c r="E19" i="2"/>
  <c r="E19" i="3" s="1"/>
  <c r="E20" i="2"/>
  <c r="E20" i="3" s="1"/>
  <c r="E21" i="2"/>
  <c r="E21" i="3" s="1"/>
  <c r="E22" i="2"/>
  <c r="E22" i="3" s="1"/>
  <c r="E23" i="2"/>
  <c r="E23" i="3" s="1"/>
  <c r="E24" i="2"/>
  <c r="E24" i="3" s="1"/>
  <c r="E25" i="2"/>
  <c r="E25" i="3" s="1"/>
  <c r="E26" i="2"/>
  <c r="E26" i="3" s="1"/>
  <c r="E27" i="2"/>
  <c r="E27" i="3" s="1"/>
  <c r="E28" i="2"/>
  <c r="E28" i="3" s="1"/>
  <c r="E29" i="3"/>
  <c r="E30" i="3"/>
  <c r="E31" i="2"/>
  <c r="E31" i="3" s="1"/>
  <c r="E32" i="2"/>
  <c r="E32" i="3" s="1"/>
  <c r="E33" i="2"/>
  <c r="E33" i="3" s="1"/>
  <c r="E34" i="2"/>
  <c r="E34" i="3" s="1"/>
  <c r="E35" i="2"/>
  <c r="E35" i="3" s="1"/>
  <c r="E36" i="2"/>
  <c r="E36" i="3" s="1"/>
  <c r="E37" i="2"/>
  <c r="E37" i="3" s="1"/>
  <c r="E38" i="2"/>
  <c r="E38" i="3" s="1"/>
  <c r="E39" i="2"/>
  <c r="E39" i="3" s="1"/>
  <c r="E40" i="2"/>
  <c r="E40" i="3" s="1"/>
  <c r="E41" i="2"/>
  <c r="E41" i="3" s="1"/>
  <c r="E42" i="2"/>
  <c r="E42" i="3" s="1"/>
  <c r="E43" i="2"/>
  <c r="E43" i="3" s="1"/>
  <c r="E44" i="2"/>
  <c r="E44" i="3" s="1"/>
  <c r="E45" i="2"/>
  <c r="E45" i="3" s="1"/>
  <c r="E46" i="2"/>
  <c r="E46" i="3" s="1"/>
  <c r="E47" i="2"/>
  <c r="E47" i="3" s="1"/>
  <c r="E48" i="2"/>
  <c r="E48" i="3" s="1"/>
  <c r="E49" i="2"/>
  <c r="E49" i="3" s="1"/>
  <c r="E50" i="2"/>
  <c r="E50" i="3" s="1"/>
  <c r="E51" i="2"/>
  <c r="E51" i="3" s="1"/>
  <c r="E52" i="2"/>
  <c r="E52" i="3" s="1"/>
  <c r="E53" i="2"/>
  <c r="E53" i="3" s="1"/>
  <c r="E54" i="2"/>
  <c r="E54" i="3" s="1"/>
  <c r="E55" i="2"/>
  <c r="E55" i="3" s="1"/>
  <c r="E56" i="2"/>
  <c r="E56" i="3" s="1"/>
  <c r="E57" i="2"/>
  <c r="E57" i="3" s="1"/>
  <c r="E58" i="2"/>
  <c r="E58" i="3" s="1"/>
  <c r="E59" i="2"/>
  <c r="E59" i="3" s="1"/>
  <c r="E60" i="2"/>
  <c r="E60" i="3" s="1"/>
  <c r="E61" i="2"/>
  <c r="E61" i="3" s="1"/>
  <c r="E62" i="2"/>
  <c r="E62" i="3" s="1"/>
  <c r="E63" i="2"/>
  <c r="E63" i="3" s="1"/>
  <c r="E64" i="2"/>
  <c r="E64" i="3" s="1"/>
  <c r="E65" i="2"/>
  <c r="E65" i="3" s="1"/>
  <c r="E66" i="2"/>
  <c r="E66" i="3" s="1"/>
  <c r="E67" i="2"/>
  <c r="E67" i="3" s="1"/>
  <c r="E68" i="2"/>
  <c r="E68" i="3" s="1"/>
  <c r="E69" i="2"/>
  <c r="E69" i="3" s="1"/>
  <c r="E70" i="2"/>
  <c r="E70" i="3" s="1"/>
  <c r="E71" i="2"/>
  <c r="E71" i="3" s="1"/>
  <c r="E72" i="2"/>
  <c r="E72" i="3" s="1"/>
  <c r="E73" i="2"/>
  <c r="E73" i="3" s="1"/>
  <c r="E74" i="2"/>
  <c r="E74" i="3" s="1"/>
  <c r="E75" i="2"/>
  <c r="E75" i="3" s="1"/>
  <c r="E76" i="2"/>
  <c r="E76" i="3" s="1"/>
  <c r="E77" i="2"/>
  <c r="E77" i="3" s="1"/>
  <c r="E78" i="2"/>
  <c r="E78" i="3" s="1"/>
  <c r="E79" i="2"/>
  <c r="E79" i="3" s="1"/>
  <c r="E80" i="2"/>
  <c r="E80" i="3" s="1"/>
  <c r="E81" i="2"/>
  <c r="E81" i="3" s="1"/>
  <c r="E82" i="2"/>
  <c r="E82" i="3" s="1"/>
  <c r="E83" i="2"/>
  <c r="E83" i="3" s="1"/>
  <c r="E84" i="2"/>
  <c r="E84" i="3" s="1"/>
  <c r="E85" i="2"/>
  <c r="E85" i="3" s="1"/>
  <c r="E86" i="2"/>
  <c r="E86" i="3" s="1"/>
  <c r="E87" i="2"/>
  <c r="E87" i="3" s="1"/>
  <c r="E88" i="2"/>
  <c r="E88" i="3" s="1"/>
  <c r="E89" i="2"/>
  <c r="E89" i="3" s="1"/>
  <c r="E90" i="2"/>
  <c r="E90" i="3" s="1"/>
  <c r="E91" i="2"/>
  <c r="E91" i="3" s="1"/>
  <c r="E92" i="2"/>
  <c r="E92" i="3" s="1"/>
  <c r="E93" i="2"/>
  <c r="E93" i="3" s="1"/>
  <c r="E94" i="2"/>
  <c r="E94" i="3" s="1"/>
  <c r="E95" i="2"/>
  <c r="E95" i="3" s="1"/>
  <c r="E96" i="2"/>
  <c r="E96" i="3" s="1"/>
  <c r="E97" i="2"/>
  <c r="D6" i="2"/>
  <c r="D6" i="3" s="1"/>
  <c r="D7" i="2"/>
  <c r="D7" i="3" s="1"/>
  <c r="D8" i="2"/>
  <c r="D8" i="3" s="1"/>
  <c r="D9" i="2"/>
  <c r="D9" i="3" s="1"/>
  <c r="D10" i="2"/>
  <c r="D10" i="3" s="1"/>
  <c r="D11" i="2"/>
  <c r="D11" i="3" s="1"/>
  <c r="D12" i="2"/>
  <c r="D12" i="3" s="1"/>
  <c r="D13" i="2"/>
  <c r="D13" i="3" s="1"/>
  <c r="D14" i="2"/>
  <c r="D14" i="3" s="1"/>
  <c r="D15" i="2"/>
  <c r="D15" i="3" s="1"/>
  <c r="D16" i="2"/>
  <c r="D16" i="3" s="1"/>
  <c r="D17" i="2"/>
  <c r="D17" i="3" s="1"/>
  <c r="D18" i="2"/>
  <c r="D18" i="3" s="1"/>
  <c r="D19" i="2"/>
  <c r="D19" i="3" s="1"/>
  <c r="D20" i="2"/>
  <c r="D20" i="3" s="1"/>
  <c r="D21" i="2"/>
  <c r="D21" i="3" s="1"/>
  <c r="D22" i="2"/>
  <c r="D22" i="3" s="1"/>
  <c r="D23" i="2"/>
  <c r="D23" i="3" s="1"/>
  <c r="D24" i="2"/>
  <c r="D24" i="3" s="1"/>
  <c r="D25" i="2"/>
  <c r="D25" i="3" s="1"/>
  <c r="D26" i="2"/>
  <c r="D26" i="3" s="1"/>
  <c r="D27" i="2"/>
  <c r="D27" i="3" s="1"/>
  <c r="D28" i="2"/>
  <c r="D28" i="3" s="1"/>
  <c r="D29" i="3"/>
  <c r="D30" i="3"/>
  <c r="D31" i="2"/>
  <c r="D31" i="3" s="1"/>
  <c r="D32" i="2"/>
  <c r="D32" i="3" s="1"/>
  <c r="D33" i="2"/>
  <c r="D33" i="3" s="1"/>
  <c r="D34" i="2"/>
  <c r="D34" i="3" s="1"/>
  <c r="D35" i="2"/>
  <c r="D35" i="3" s="1"/>
  <c r="D36" i="2"/>
  <c r="D36" i="3" s="1"/>
  <c r="D37" i="2"/>
  <c r="D37" i="3" s="1"/>
  <c r="D38" i="2"/>
  <c r="D38" i="3" s="1"/>
  <c r="D39" i="2"/>
  <c r="D39" i="3" s="1"/>
  <c r="D40" i="2"/>
  <c r="D40" i="3" s="1"/>
  <c r="D41" i="2"/>
  <c r="D41" i="3" s="1"/>
  <c r="D42" i="2"/>
  <c r="D42" i="3" s="1"/>
  <c r="D43" i="2"/>
  <c r="D43" i="3" s="1"/>
  <c r="D44" i="2"/>
  <c r="D44" i="3" s="1"/>
  <c r="D45" i="2"/>
  <c r="D45" i="3" s="1"/>
  <c r="D46" i="2"/>
  <c r="D46" i="3" s="1"/>
  <c r="D47" i="2"/>
  <c r="D47" i="3" s="1"/>
  <c r="D48" i="2"/>
  <c r="D48" i="3" s="1"/>
  <c r="D49" i="2"/>
  <c r="D49" i="3" s="1"/>
  <c r="D50" i="2"/>
  <c r="D50" i="3" s="1"/>
  <c r="D51" i="2"/>
  <c r="D51" i="3" s="1"/>
  <c r="D52" i="2"/>
  <c r="D52" i="3" s="1"/>
  <c r="D53" i="2"/>
  <c r="D53" i="3" s="1"/>
  <c r="D54" i="2"/>
  <c r="D54" i="3" s="1"/>
  <c r="D55" i="2"/>
  <c r="D55" i="3" s="1"/>
  <c r="D56" i="2"/>
  <c r="D56" i="3" s="1"/>
  <c r="D57" i="2"/>
  <c r="D57" i="3" s="1"/>
  <c r="D58" i="2"/>
  <c r="D58" i="3" s="1"/>
  <c r="D59" i="2"/>
  <c r="D59" i="3" s="1"/>
  <c r="D60" i="2"/>
  <c r="D60" i="3" s="1"/>
  <c r="D61" i="2"/>
  <c r="D61" i="3" s="1"/>
  <c r="D62" i="2"/>
  <c r="D62" i="3" s="1"/>
  <c r="D63" i="2"/>
  <c r="D63" i="3" s="1"/>
  <c r="D64" i="2"/>
  <c r="D64" i="3" s="1"/>
  <c r="D65" i="2"/>
  <c r="D65" i="3" s="1"/>
  <c r="D66" i="2"/>
  <c r="D66" i="3" s="1"/>
  <c r="D67" i="2"/>
  <c r="D67" i="3" s="1"/>
  <c r="D68" i="2"/>
  <c r="D68" i="3" s="1"/>
  <c r="D69" i="2"/>
  <c r="D69" i="3" s="1"/>
  <c r="D70" i="2"/>
  <c r="D70" i="3" s="1"/>
  <c r="D71" i="2"/>
  <c r="D71" i="3" s="1"/>
  <c r="D72" i="2"/>
  <c r="D72" i="3" s="1"/>
  <c r="D73" i="2"/>
  <c r="D73" i="3" s="1"/>
  <c r="D74" i="2"/>
  <c r="D74" i="3" s="1"/>
  <c r="D75" i="2"/>
  <c r="D75" i="3" s="1"/>
  <c r="D76" i="2"/>
  <c r="D76" i="3" s="1"/>
  <c r="D77" i="2"/>
  <c r="D77" i="3" s="1"/>
  <c r="D78" i="2"/>
  <c r="D78" i="3" s="1"/>
  <c r="D79" i="2"/>
  <c r="D79" i="3" s="1"/>
  <c r="D80" i="2"/>
  <c r="D80" i="3" s="1"/>
  <c r="D81" i="2"/>
  <c r="D81" i="3" s="1"/>
  <c r="D82" i="2"/>
  <c r="D82" i="3" s="1"/>
  <c r="D83" i="2"/>
  <c r="D83" i="3" s="1"/>
  <c r="D84" i="2"/>
  <c r="D84" i="3" s="1"/>
  <c r="D85" i="2"/>
  <c r="D85" i="3" s="1"/>
  <c r="D86" i="2"/>
  <c r="D86" i="3" s="1"/>
  <c r="D87" i="2"/>
  <c r="D87" i="3" s="1"/>
  <c r="D88" i="2"/>
  <c r="D88" i="3" s="1"/>
  <c r="D89" i="2"/>
  <c r="D89" i="3" s="1"/>
  <c r="D90" i="2"/>
  <c r="D90" i="3" s="1"/>
  <c r="D91" i="2"/>
  <c r="D91" i="3" s="1"/>
  <c r="D92" i="2"/>
  <c r="D92" i="3" s="1"/>
  <c r="D93" i="2"/>
  <c r="D93" i="3" s="1"/>
  <c r="D94" i="2"/>
  <c r="D94" i="3" s="1"/>
  <c r="D95" i="2"/>
  <c r="D95" i="3" s="1"/>
  <c r="D96" i="2"/>
  <c r="D96" i="3" s="1"/>
  <c r="D97" i="2"/>
  <c r="C6" i="2"/>
  <c r="C6" i="3" s="1"/>
  <c r="C7" i="2"/>
  <c r="C7" i="3" s="1"/>
  <c r="C8" i="2"/>
  <c r="C8" i="3" s="1"/>
  <c r="C9" i="2"/>
  <c r="C9" i="3" s="1"/>
  <c r="C10" i="2"/>
  <c r="C10" i="3" s="1"/>
  <c r="C11" i="2"/>
  <c r="C11" i="3" s="1"/>
  <c r="C12" i="2"/>
  <c r="C12" i="3" s="1"/>
  <c r="C13" i="2"/>
  <c r="C13" i="3" s="1"/>
  <c r="C14" i="2"/>
  <c r="C14" i="3" s="1"/>
  <c r="C15" i="2"/>
  <c r="C15" i="3" s="1"/>
  <c r="C16" i="2"/>
  <c r="C16" i="3" s="1"/>
  <c r="C17" i="2"/>
  <c r="C17" i="3" s="1"/>
  <c r="C18" i="2"/>
  <c r="C18" i="3" s="1"/>
  <c r="C19" i="2"/>
  <c r="C19" i="3" s="1"/>
  <c r="C20" i="2"/>
  <c r="C20" i="3" s="1"/>
  <c r="C21" i="2"/>
  <c r="C21" i="3" s="1"/>
  <c r="C22" i="2"/>
  <c r="C22" i="3" s="1"/>
  <c r="C23" i="2"/>
  <c r="C23" i="3" s="1"/>
  <c r="C24" i="2"/>
  <c r="C24" i="3" s="1"/>
  <c r="C25" i="2"/>
  <c r="C25" i="3" s="1"/>
  <c r="C26" i="2"/>
  <c r="C26" i="3" s="1"/>
  <c r="C27" i="2"/>
  <c r="C27" i="3" s="1"/>
  <c r="C28" i="2"/>
  <c r="C28" i="3" s="1"/>
  <c r="C29" i="3"/>
  <c r="C30" i="3"/>
  <c r="C31" i="2"/>
  <c r="C31" i="3" s="1"/>
  <c r="C32" i="2"/>
  <c r="C32" i="3" s="1"/>
  <c r="C33" i="2"/>
  <c r="C33" i="3" s="1"/>
  <c r="C34" i="2"/>
  <c r="C34" i="3" s="1"/>
  <c r="C35" i="2"/>
  <c r="C35" i="3" s="1"/>
  <c r="C36" i="2"/>
  <c r="C36" i="3" s="1"/>
  <c r="C37" i="2"/>
  <c r="C37" i="3" s="1"/>
  <c r="C38" i="2"/>
  <c r="C38" i="3" s="1"/>
  <c r="C39" i="2"/>
  <c r="C39" i="3" s="1"/>
  <c r="C40" i="2"/>
  <c r="C40" i="3" s="1"/>
  <c r="C41" i="2"/>
  <c r="C41" i="3" s="1"/>
  <c r="C42" i="2"/>
  <c r="C42" i="3" s="1"/>
  <c r="C43" i="2"/>
  <c r="C43" i="3" s="1"/>
  <c r="C44" i="2"/>
  <c r="C44" i="3" s="1"/>
  <c r="C45" i="2"/>
  <c r="C45" i="3" s="1"/>
  <c r="C46" i="2"/>
  <c r="C46" i="3" s="1"/>
  <c r="C47" i="2"/>
  <c r="C47" i="3" s="1"/>
  <c r="C48" i="2"/>
  <c r="C48" i="3" s="1"/>
  <c r="C49" i="2"/>
  <c r="C49" i="3" s="1"/>
  <c r="C50" i="2"/>
  <c r="C50" i="3" s="1"/>
  <c r="C51" i="2"/>
  <c r="C51" i="3" s="1"/>
  <c r="C52" i="2"/>
  <c r="C52" i="3" s="1"/>
  <c r="C53" i="2"/>
  <c r="C53" i="3" s="1"/>
  <c r="C54" i="2"/>
  <c r="C54" i="3" s="1"/>
  <c r="C55" i="2"/>
  <c r="C55" i="3" s="1"/>
  <c r="C56" i="2"/>
  <c r="C56" i="3" s="1"/>
  <c r="C57" i="2"/>
  <c r="C57" i="3" s="1"/>
  <c r="C58" i="2"/>
  <c r="C58" i="3" s="1"/>
  <c r="C59" i="2"/>
  <c r="C59" i="3" s="1"/>
  <c r="C60" i="2"/>
  <c r="C60" i="3" s="1"/>
  <c r="C61" i="2"/>
  <c r="C61" i="3" s="1"/>
  <c r="C62" i="2"/>
  <c r="C62" i="3" s="1"/>
  <c r="C63" i="2"/>
  <c r="C63" i="3" s="1"/>
  <c r="C64" i="2"/>
  <c r="C64" i="3" s="1"/>
  <c r="C65" i="2"/>
  <c r="C65" i="3" s="1"/>
  <c r="C66" i="2"/>
  <c r="C66" i="3" s="1"/>
  <c r="C67" i="2"/>
  <c r="C67" i="3" s="1"/>
  <c r="C68" i="2"/>
  <c r="C68" i="3" s="1"/>
  <c r="C69" i="2"/>
  <c r="C69" i="3" s="1"/>
  <c r="C70" i="2"/>
  <c r="C70" i="3" s="1"/>
  <c r="C71" i="2"/>
  <c r="C71" i="3" s="1"/>
  <c r="C72" i="2"/>
  <c r="C72" i="3" s="1"/>
  <c r="C73" i="2"/>
  <c r="C73" i="3" s="1"/>
  <c r="C74" i="2"/>
  <c r="C74" i="3" s="1"/>
  <c r="C75" i="2"/>
  <c r="C75" i="3" s="1"/>
  <c r="C76" i="2"/>
  <c r="C76" i="3" s="1"/>
  <c r="C77" i="2"/>
  <c r="C77" i="3" s="1"/>
  <c r="C78" i="2"/>
  <c r="C78" i="3" s="1"/>
  <c r="C79" i="2"/>
  <c r="C79" i="3" s="1"/>
  <c r="C80" i="2"/>
  <c r="C80" i="3" s="1"/>
  <c r="C81" i="2"/>
  <c r="C81" i="3" s="1"/>
  <c r="C82" i="2"/>
  <c r="C82" i="3" s="1"/>
  <c r="C83" i="2"/>
  <c r="C83" i="3" s="1"/>
  <c r="C84" i="2"/>
  <c r="C84" i="3" s="1"/>
  <c r="C85" i="2"/>
  <c r="C85" i="3" s="1"/>
  <c r="C86" i="2"/>
  <c r="C86" i="3" s="1"/>
  <c r="C87" i="2"/>
  <c r="C87" i="3" s="1"/>
  <c r="C88" i="2"/>
  <c r="C88" i="3" s="1"/>
  <c r="C89" i="2"/>
  <c r="C89" i="3" s="1"/>
  <c r="C90" i="2"/>
  <c r="C90" i="3" s="1"/>
  <c r="C91" i="2"/>
  <c r="C91" i="3" s="1"/>
  <c r="C92" i="2"/>
  <c r="C92" i="3" s="1"/>
  <c r="C93" i="2"/>
  <c r="C93" i="3" s="1"/>
  <c r="C94" i="2"/>
  <c r="C94" i="3" s="1"/>
  <c r="C95" i="2"/>
  <c r="C95" i="3" s="1"/>
  <c r="C96" i="2"/>
  <c r="C96" i="3" s="1"/>
  <c r="C97" i="3"/>
  <c r="C97" i="2"/>
  <c r="B6" i="2"/>
  <c r="B7" i="2"/>
  <c r="B7" i="3" s="1"/>
  <c r="B8" i="2"/>
  <c r="B8" i="3" s="1"/>
  <c r="B9" i="2"/>
  <c r="B9" i="3" s="1"/>
  <c r="B10" i="2"/>
  <c r="B10" i="3" s="1"/>
  <c r="B11" i="2"/>
  <c r="B11" i="3" s="1"/>
  <c r="B12" i="2"/>
  <c r="B12" i="3" s="1"/>
  <c r="B13" i="2"/>
  <c r="B13" i="3" s="1"/>
  <c r="B14" i="2"/>
  <c r="B14" i="3" s="1"/>
  <c r="B15" i="2"/>
  <c r="B15" i="3" s="1"/>
  <c r="B16" i="2"/>
  <c r="B16" i="3" s="1"/>
  <c r="B17" i="2"/>
  <c r="B17" i="3" s="1"/>
  <c r="B18" i="2"/>
  <c r="B18" i="3" s="1"/>
  <c r="B19" i="2"/>
  <c r="B19" i="3" s="1"/>
  <c r="B20" i="2"/>
  <c r="B20" i="3" s="1"/>
  <c r="B21" i="2"/>
  <c r="B21" i="3" s="1"/>
  <c r="B22" i="2"/>
  <c r="B22" i="3" s="1"/>
  <c r="B23" i="2"/>
  <c r="B23" i="3" s="1"/>
  <c r="B24" i="2"/>
  <c r="B24" i="3" s="1"/>
  <c r="B25" i="2"/>
  <c r="B25" i="3" s="1"/>
  <c r="B26" i="2"/>
  <c r="B26" i="3" s="1"/>
  <c r="B27" i="2"/>
  <c r="B27" i="3" s="1"/>
  <c r="B28" i="2"/>
  <c r="B28" i="3" s="1"/>
  <c r="B29" i="3"/>
  <c r="B30" i="3"/>
  <c r="B31" i="2"/>
  <c r="B31" i="3" s="1"/>
  <c r="B32" i="2"/>
  <c r="B32" i="3" s="1"/>
  <c r="B33" i="2"/>
  <c r="B33" i="3" s="1"/>
  <c r="B34" i="2"/>
  <c r="B34" i="3" s="1"/>
  <c r="B35" i="2"/>
  <c r="B35" i="3" s="1"/>
  <c r="B36" i="2"/>
  <c r="B36" i="3" s="1"/>
  <c r="B37" i="2"/>
  <c r="B37" i="3" s="1"/>
  <c r="B38" i="2"/>
  <c r="B38" i="3" s="1"/>
  <c r="B39" i="2"/>
  <c r="B39" i="3" s="1"/>
  <c r="B40" i="2"/>
  <c r="B40" i="3" s="1"/>
  <c r="B41" i="2"/>
  <c r="B41" i="3" s="1"/>
  <c r="B42" i="2"/>
  <c r="B42" i="3" s="1"/>
  <c r="B43" i="2"/>
  <c r="B43" i="3" s="1"/>
  <c r="B44" i="2"/>
  <c r="B44" i="3" s="1"/>
  <c r="B45" i="2"/>
  <c r="B45" i="3" s="1"/>
  <c r="B46" i="2"/>
  <c r="B46" i="3" s="1"/>
  <c r="B47" i="2"/>
  <c r="B47" i="3" s="1"/>
  <c r="B48" i="2"/>
  <c r="B48" i="3" s="1"/>
  <c r="B49" i="2"/>
  <c r="B49" i="3" s="1"/>
  <c r="B50" i="2"/>
  <c r="B50" i="3" s="1"/>
  <c r="B51" i="2"/>
  <c r="B51" i="3" s="1"/>
  <c r="B52" i="2"/>
  <c r="B52" i="3" s="1"/>
  <c r="B53" i="2"/>
  <c r="B53" i="3" s="1"/>
  <c r="B54" i="2"/>
  <c r="B54" i="3" s="1"/>
  <c r="B55" i="2"/>
  <c r="B55" i="3" s="1"/>
  <c r="B56" i="2"/>
  <c r="B56" i="3" s="1"/>
  <c r="B57" i="2"/>
  <c r="B57" i="3" s="1"/>
  <c r="B58" i="2"/>
  <c r="B58" i="3" s="1"/>
  <c r="B59" i="2"/>
  <c r="B59" i="3" s="1"/>
  <c r="B60" i="2"/>
  <c r="B60" i="3" s="1"/>
  <c r="B61" i="2"/>
  <c r="B61" i="3" s="1"/>
  <c r="B62" i="2"/>
  <c r="B62" i="3" s="1"/>
  <c r="B63" i="2"/>
  <c r="B63" i="3" s="1"/>
  <c r="B64" i="2"/>
  <c r="B64" i="3" s="1"/>
  <c r="B65" i="2"/>
  <c r="B65" i="3" s="1"/>
  <c r="B66" i="2"/>
  <c r="B66" i="3" s="1"/>
  <c r="B67" i="2"/>
  <c r="B67" i="3" s="1"/>
  <c r="B68" i="2"/>
  <c r="B68" i="3" s="1"/>
  <c r="B69" i="2"/>
  <c r="B69" i="3" s="1"/>
  <c r="B70" i="2"/>
  <c r="B70" i="3" s="1"/>
  <c r="B71" i="2"/>
  <c r="B71" i="3" s="1"/>
  <c r="B72" i="2"/>
  <c r="B72" i="3" s="1"/>
  <c r="B73" i="2"/>
  <c r="B73" i="3" s="1"/>
  <c r="B74" i="2"/>
  <c r="B74" i="3" s="1"/>
  <c r="B75" i="2"/>
  <c r="B75" i="3" s="1"/>
  <c r="B76" i="2"/>
  <c r="B76" i="3" s="1"/>
  <c r="B77" i="2"/>
  <c r="B77" i="3" s="1"/>
  <c r="B78" i="2"/>
  <c r="B78" i="3" s="1"/>
  <c r="B79" i="2"/>
  <c r="B79" i="3" s="1"/>
  <c r="B80" i="2"/>
  <c r="B80" i="3" s="1"/>
  <c r="B81" i="2"/>
  <c r="B81" i="3" s="1"/>
  <c r="B82" i="2"/>
  <c r="B82" i="3" s="1"/>
  <c r="B83" i="2"/>
  <c r="B83" i="3" s="1"/>
  <c r="B84" i="2"/>
  <c r="B84" i="3" s="1"/>
  <c r="B85" i="2"/>
  <c r="B85" i="3" s="1"/>
  <c r="B86" i="2"/>
  <c r="B86" i="3" s="1"/>
  <c r="B87" i="2"/>
  <c r="B87" i="3" s="1"/>
  <c r="B88" i="2"/>
  <c r="B88" i="3" s="1"/>
  <c r="B89" i="2"/>
  <c r="B89" i="3" s="1"/>
  <c r="B90" i="2"/>
  <c r="B90" i="3" s="1"/>
  <c r="B91" i="2"/>
  <c r="B91" i="3" s="1"/>
  <c r="B92" i="2"/>
  <c r="B92" i="3" s="1"/>
  <c r="B93" i="2"/>
  <c r="B93" i="3" s="1"/>
  <c r="B94" i="2"/>
  <c r="B94" i="3" s="1"/>
  <c r="B95" i="2"/>
  <c r="B95" i="3" s="1"/>
  <c r="B96" i="2"/>
  <c r="B96" i="3" s="1"/>
  <c r="B97" i="3"/>
  <c r="B97" i="2"/>
  <c r="H97" i="3" l="1"/>
  <c r="E97" i="3"/>
  <c r="I97" i="3"/>
  <c r="J97" i="3"/>
  <c r="D97" i="3"/>
  <c r="G6" i="3"/>
  <c r="L12" i="2"/>
  <c r="G98" i="2"/>
  <c r="H32" i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9" i="1" s="1"/>
  <c r="F7" i="3"/>
  <c r="F98" i="3" s="1"/>
  <c r="F98" i="2"/>
  <c r="H7" i="3"/>
  <c r="H98" i="3" s="1"/>
  <c r="H98" i="2"/>
  <c r="I7" i="3"/>
  <c r="I98" i="2"/>
  <c r="G7" i="3"/>
  <c r="J7" i="3"/>
  <c r="J98" i="2"/>
  <c r="I98" i="3" l="1"/>
  <c r="J98" i="3"/>
  <c r="G98" i="3"/>
</calcChain>
</file>

<file path=xl/sharedStrings.xml><?xml version="1.0" encoding="utf-8"?>
<sst xmlns="http://schemas.openxmlformats.org/spreadsheetml/2006/main" count="326" uniqueCount="70">
  <si>
    <t>Date</t>
  </si>
  <si>
    <t>Bike Code</t>
  </si>
  <si>
    <t>Rider</t>
  </si>
  <si>
    <t>Status</t>
  </si>
  <si>
    <t>Location</t>
  </si>
  <si>
    <t>Balance</t>
  </si>
  <si>
    <t>Revenue</t>
  </si>
  <si>
    <t>Aminu Ibrahim</t>
  </si>
  <si>
    <t>Bello Saulawa</t>
  </si>
  <si>
    <t>Murtala Hassan</t>
  </si>
  <si>
    <t>Bello Abdullahi</t>
  </si>
  <si>
    <t>Babangida Monde</t>
  </si>
  <si>
    <t>DASHVOLT REVENUE SCHEDULE</t>
  </si>
  <si>
    <t>DASHVOLT REVENUE SCHEDULE PER RIDER</t>
  </si>
  <si>
    <t>PERCENTAGE PER RIDER</t>
  </si>
  <si>
    <t>TOTAL</t>
  </si>
  <si>
    <t>COMPLETED</t>
  </si>
  <si>
    <t>JAHI</t>
  </si>
  <si>
    <t>Mitama</t>
  </si>
  <si>
    <t>cOMPLETED</t>
  </si>
  <si>
    <t>Dawaki</t>
  </si>
  <si>
    <t>Jabi</t>
  </si>
  <si>
    <t>Wuse2</t>
  </si>
  <si>
    <t>Utako</t>
  </si>
  <si>
    <t>Life camp</t>
  </si>
  <si>
    <t>Kado</t>
  </si>
  <si>
    <t>Gwarimpa</t>
  </si>
  <si>
    <t>mabushi</t>
  </si>
  <si>
    <t>Jahi</t>
  </si>
  <si>
    <t>P</t>
  </si>
  <si>
    <t>Guzape</t>
  </si>
  <si>
    <t>CBD</t>
  </si>
  <si>
    <t>Garki</t>
  </si>
  <si>
    <t>Katampe</t>
  </si>
  <si>
    <t>Wuye</t>
  </si>
  <si>
    <t>Aso drive</t>
  </si>
  <si>
    <t>Wuse5</t>
  </si>
  <si>
    <t>Asokoro</t>
  </si>
  <si>
    <t>Lokogoma</t>
  </si>
  <si>
    <t>Karsana</t>
  </si>
  <si>
    <t>Appo legislative qtrs</t>
  </si>
  <si>
    <t>Gishiri</t>
  </si>
  <si>
    <t>Wuse6</t>
  </si>
  <si>
    <t>wuse zone 6</t>
  </si>
  <si>
    <t>Garki2</t>
  </si>
  <si>
    <t>Maitama</t>
  </si>
  <si>
    <t>wuse zone 5</t>
  </si>
  <si>
    <t>Katempe Extention</t>
  </si>
  <si>
    <t>Apo</t>
  </si>
  <si>
    <t>Mbora</t>
  </si>
  <si>
    <t>idu</t>
  </si>
  <si>
    <t>jabi</t>
  </si>
  <si>
    <t>Games Village</t>
  </si>
  <si>
    <t>Profit- and Loss Projection for regular operation per anum</t>
  </si>
  <si>
    <t>Total Sales</t>
  </si>
  <si>
    <t>Revenue from Fares</t>
  </si>
  <si>
    <t>Cost of goods sold (COGS)</t>
  </si>
  <si>
    <t>Gross Profit</t>
  </si>
  <si>
    <t xml:space="preserve">OPEX Costs </t>
  </si>
  <si>
    <t xml:space="preserve">Salaries &amp; Wages </t>
  </si>
  <si>
    <t>Repairs and Maintenance</t>
  </si>
  <si>
    <t>Utilities</t>
  </si>
  <si>
    <t>Marketing and Promotions</t>
  </si>
  <si>
    <t>Stationery and office supplies</t>
  </si>
  <si>
    <t>Miscelaneous</t>
  </si>
  <si>
    <t>EBITA</t>
  </si>
  <si>
    <t>Taxes</t>
  </si>
  <si>
    <t>Earnings After Taxes</t>
  </si>
  <si>
    <t>Fuel for Combustion Bikes</t>
  </si>
  <si>
    <t>Riders'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</si>
</sst>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[$₦-468]\ * #,##0.00_-;\-[$₦-468]\ * #,##0.00_-;_-[$₦-468]\ * &quot;-&quot;??_-;_-@_-"/>
    <numFmt numFmtId="165" formatCode="[$-409]d\-mmm\-yy;@"/>
    <numFmt numFmtId="166" formatCode="_(* #,##0_);_(* \(#,##0\);_(* &quot;-&quot;??_);_(@_)"/>
    <numFmt numFmtId="167" formatCode="#,##0.00&quot; N&quot;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1"/>
      <name val="Century Gothic"/>
    </font>
    <font>
      <sz val="11"/>
      <name val="Century Gothic"/>
      <family val="2"/>
    </font>
    <font>
      <b/>
      <u/>
      <sz val="16"/>
      <color theme="1"/>
      <name val="Calibri"/>
      <scheme val="minor"/>
    </font>
    <font>
      <b/>
      <sz val="12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3" fontId="2" fillId="0" borderId="3" xfId="1" applyFont="1" applyBorder="1" applyAlignment="1">
      <alignment horizontal="center"/>
    </xf>
    <xf numFmtId="43" fontId="2" fillId="0" borderId="0" xfId="1" applyFont="1" applyBorder="1"/>
    <xf numFmtId="43" fontId="2" fillId="0" borderId="8" xfId="1" applyFont="1" applyBorder="1" applyAlignment="1">
      <alignment horizontal="center"/>
    </xf>
    <xf numFmtId="166" fontId="2" fillId="0" borderId="0" xfId="1" applyNumberFormat="1" applyFont="1"/>
    <xf numFmtId="166" fontId="2" fillId="0" borderId="6" xfId="1" applyNumberFormat="1" applyFont="1" applyBorder="1" applyAlignment="1">
      <alignment horizontal="center"/>
    </xf>
    <xf numFmtId="166" fontId="2" fillId="0" borderId="0" xfId="1" applyNumberFormat="1" applyFont="1" applyBorder="1"/>
    <xf numFmtId="43" fontId="2" fillId="0" borderId="0" xfId="0" applyNumberFormat="1" applyFont="1"/>
    <xf numFmtId="9" fontId="2" fillId="4" borderId="0" xfId="0" applyNumberFormat="1" applyFont="1" applyFill="1"/>
    <xf numFmtId="0" fontId="4" fillId="3" borderId="0" xfId="0" applyFont="1" applyFill="1" applyAlignment="1">
      <alignment horizontal="center"/>
    </xf>
    <xf numFmtId="166" fontId="5" fillId="0" borderId="11" xfId="1" applyNumberFormat="1" applyFont="1" applyBorder="1"/>
    <xf numFmtId="164" fontId="5" fillId="0" borderId="11" xfId="0" applyNumberFormat="1" applyFont="1" applyBorder="1"/>
    <xf numFmtId="0" fontId="5" fillId="0" borderId="0" xfId="0" applyFont="1"/>
    <xf numFmtId="164" fontId="2" fillId="0" borderId="0" xfId="1" applyNumberFormat="1" applyFont="1" applyBorder="1"/>
    <xf numFmtId="43" fontId="6" fillId="0" borderId="13" xfId="1" applyFont="1" applyBorder="1"/>
    <xf numFmtId="43" fontId="6" fillId="0" borderId="14" xfId="1" applyFont="1" applyBorder="1"/>
    <xf numFmtId="0" fontId="6" fillId="0" borderId="0" xfId="0" applyFont="1"/>
    <xf numFmtId="43" fontId="6" fillId="0" borderId="11" xfId="0" applyNumberFormat="1" applyFont="1" applyBorder="1"/>
    <xf numFmtId="165" fontId="7" fillId="0" borderId="0" xfId="0" applyNumberFormat="1" applyFont="1"/>
    <xf numFmtId="0" fontId="7" fillId="0" borderId="0" xfId="0" applyFont="1"/>
    <xf numFmtId="0" fontId="8" fillId="0" borderId="0" xfId="0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9" fillId="0" borderId="0" xfId="0" applyFont="1"/>
    <xf numFmtId="0" fontId="10" fillId="5" borderId="0" xfId="0" applyFont="1" applyFill="1"/>
    <xf numFmtId="167" fontId="10" fillId="5" borderId="0" xfId="0" applyNumberFormat="1" applyFont="1" applyFill="1"/>
    <xf numFmtId="10" fontId="10" fillId="5" borderId="0" xfId="2" applyNumberFormat="1" applyFont="1" applyFill="1"/>
    <xf numFmtId="1" fontId="0" fillId="0" borderId="0" xfId="0" applyNumberFormat="1"/>
    <xf numFmtId="0" fontId="0" fillId="6" borderId="0" xfId="0" applyFill="1"/>
    <xf numFmtId="167" fontId="0" fillId="6" borderId="0" xfId="0" applyNumberFormat="1" applyFill="1"/>
    <xf numFmtId="10" fontId="0" fillId="6" borderId="0" xfId="2" applyNumberFormat="1" applyFont="1" applyFill="1"/>
    <xf numFmtId="0" fontId="10" fillId="7" borderId="0" xfId="0" applyFont="1" applyFill="1"/>
    <xf numFmtId="167" fontId="10" fillId="7" borderId="0" xfId="0" applyNumberFormat="1" applyFont="1" applyFill="1"/>
    <xf numFmtId="10" fontId="10" fillId="7" borderId="0" xfId="2" applyNumberFormat="1" applyFont="1" applyFill="1"/>
    <xf numFmtId="0" fontId="10" fillId="0" borderId="0" xfId="0" applyFont="1"/>
    <xf numFmtId="0" fontId="0" fillId="8" borderId="0" xfId="0" applyFill="1"/>
    <xf numFmtId="167" fontId="0" fillId="8" borderId="0" xfId="0" applyNumberFormat="1" applyFill="1"/>
    <xf numFmtId="10" fontId="0" fillId="8" borderId="0" xfId="2" applyNumberFormat="1" applyFont="1" applyFill="1"/>
    <xf numFmtId="167" fontId="0" fillId="0" borderId="0" xfId="0" applyNumberFormat="1"/>
    <xf numFmtId="10" fontId="0" fillId="0" borderId="0" xfId="2" applyNumberFormat="1" applyFont="1" applyFill="1"/>
    <xf numFmtId="0" fontId="10" fillId="9" borderId="0" xfId="0" applyFont="1" applyFill="1"/>
    <xf numFmtId="167" fontId="10" fillId="9" borderId="0" xfId="0" applyNumberFormat="1" applyFont="1" applyFill="1"/>
    <xf numFmtId="10" fontId="10" fillId="9" borderId="0" xfId="2" applyNumberFormat="1" applyFont="1" applyFill="1"/>
    <xf numFmtId="0" fontId="10" fillId="10" borderId="0" xfId="0" applyFont="1" applyFill="1"/>
    <xf numFmtId="167" fontId="10" fillId="10" borderId="0" xfId="0" applyNumberFormat="1" applyFont="1" applyFill="1"/>
    <xf numFmtId="10" fontId="10" fillId="10" borderId="0" xfId="2" applyNumberFormat="1" applyFont="1" applyFill="1"/>
    <xf numFmtId="0" fontId="0" fillId="4" borderId="0" xfId="0" applyFill="1"/>
    <xf numFmtId="167" fontId="0" fillId="4" borderId="0" xfId="0" applyNumberFormat="1" applyFill="1"/>
    <xf numFmtId="10" fontId="0" fillId="4" borderId="0" xfId="2" applyNumberFormat="1" applyFont="1" applyFill="1"/>
    <xf numFmtId="168" fontId="0" fillId="0" borderId="0" xfId="2" applyNumberFormat="1" applyFont="1"/>
    <xf numFmtId="43" fontId="0" fillId="0" borderId="0" xfId="1" applyFont="1"/>
    <xf numFmtId="0" fontId="10" fillId="11" borderId="0" xfId="0" applyFont="1" applyFill="1"/>
    <xf numFmtId="167" fontId="10" fillId="11" borderId="0" xfId="0" applyNumberFormat="1" applyFont="1" applyFill="1"/>
    <xf numFmtId="10" fontId="10" fillId="11" borderId="0" xfId="2" applyNumberFormat="1" applyFont="1" applyFill="1"/>
    <xf numFmtId="43" fontId="0" fillId="6" borderId="0" xfId="1" applyFont="1" applyFill="1"/>
  </cellXfs>
  <cellStyles count="3">
    <cellStyle name="Comma" xfId="1" builtinId="3"/>
    <cellStyle name="Normal" xfId="0" builtinId="0"/>
    <cellStyle name="Percent" xfId="2" builtinId="5"/>
  </cellStyles>
  <dxfs count="35"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[$-409]d\-mmm\-yy;@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[$-409]d\-mmm\-yy;@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border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_-[$₦-468]\ * #,##0.00_-;\-[$₦-468]\ * #,##0.00_-;_-[$₦-468]\ * &quot;-&quot;??_-;_-@_-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6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border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H98" totalsRowShown="0" headerRowDxfId="34" dataDxfId="32" headerRowBorderDxfId="33" tableBorderDxfId="31">
  <autoFilter ref="B5:H98" xr:uid="{00000000-0009-0000-0100-000001000000}"/>
  <tableColumns count="7">
    <tableColumn id="1" xr3:uid="{00000000-0010-0000-0000-000001000000}" name="Date" dataDxfId="30"/>
    <tableColumn id="2" xr3:uid="{00000000-0010-0000-0000-000002000000}" name="Bike Code" dataDxfId="29"/>
    <tableColumn id="3" xr3:uid="{00000000-0010-0000-0000-000003000000}" name="Rider" dataDxfId="28"/>
    <tableColumn id="4" xr3:uid="{00000000-0010-0000-0000-000004000000}" name="Status" dataDxfId="27"/>
    <tableColumn id="5" xr3:uid="{00000000-0010-0000-0000-000005000000}" name="Location" dataDxfId="26"/>
    <tableColumn id="6" xr3:uid="{00000000-0010-0000-0000-000006000000}" name="Revenue" dataDxfId="25" dataCellStyle="Comma"/>
    <tableColumn id="7" xr3:uid="{00000000-0010-0000-0000-000007000000}" name="Balance" dataDxfId="24">
      <calculatedColumnFormula>H5+Table1[[#This Row],[Revenue]]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5:J97" totalsRowShown="0" headerRowDxfId="23" dataDxfId="21" headerRowBorderDxfId="22" tableBorderDxfId="20">
  <tableColumns count="9">
    <tableColumn id="1" xr3:uid="{00000000-0010-0000-0100-000001000000}" name="Date" dataDxfId="19">
      <calculatedColumnFormula>'DASHVOLT REVENUE SCHEDULE'!B7</calculatedColumnFormula>
    </tableColumn>
    <tableColumn id="2" xr3:uid="{00000000-0010-0000-0100-000002000000}" name="Bike Code" dataDxfId="18" dataCellStyle="Comma">
      <calculatedColumnFormula>'DASHVOLT REVENUE SCHEDULE'!C7</calculatedColumnFormula>
    </tableColumn>
    <tableColumn id="7" xr3:uid="{00000000-0010-0000-0100-000007000000}" name="Status" dataDxfId="17" dataCellStyle="Comma">
      <calculatedColumnFormula>'DASHVOLT REVENUE SCHEDULE'!E7</calculatedColumnFormula>
    </tableColumn>
    <tableColumn id="8" xr3:uid="{00000000-0010-0000-0100-000008000000}" name="Location" dataDxfId="16" dataCellStyle="Comma">
      <calculatedColumnFormula>'DASHVOLT REVENUE SCHEDULE'!F7</calculatedColumnFormula>
    </tableColumn>
    <tableColumn id="3" xr3:uid="{00000000-0010-0000-0100-000003000000}" name="Aminu Ibrahim" dataDxfId="15" dataCellStyle="Comma">
      <calculatedColumnFormula>IF('DASHVOLT REVENUE SCHEDULE'!D7= "Aminu Ibrahim", 'DASHVOLT REVENUE SCHEDULE'!G7, 0)</calculatedColumnFormula>
    </tableColumn>
    <tableColumn id="4" xr3:uid="{00000000-0010-0000-0100-000004000000}" name="Bello Saulawa" dataDxfId="14" dataCellStyle="Comma">
      <calculatedColumnFormula>IF('DASHVOLT REVENUE SCHEDULE'!D7= "Bello Saulawa",'DASHVOLT REVENUE SCHEDULE'!G7, 0)</calculatedColumnFormula>
    </tableColumn>
    <tableColumn id="5" xr3:uid="{00000000-0010-0000-0100-000005000000}" name="Murtala Hassan" dataDxfId="13" dataCellStyle="Comma">
      <calculatedColumnFormula>IF('DASHVOLT REVENUE SCHEDULE'!D7= "Murtala Hassan", 'DASHVOLT REVENUE SCHEDULE'!G7, 0)</calculatedColumnFormula>
    </tableColumn>
    <tableColumn id="6" xr3:uid="{00000000-0010-0000-0100-000006000000}" name="Babangida Monde" dataDxfId="12" dataCellStyle="Comma">
      <calculatedColumnFormula>IF('DASHVOLT REVENUE SCHEDULE'!D7= "Babangida Monde", 'DASHVOLT REVENUE SCHEDULE'!G7, 0)</calculatedColumnFormula>
    </tableColumn>
    <tableColumn id="10" xr3:uid="{00000000-0010-0000-0100-00000A000000}" name="Bello Abdullahi" dataDxfId="11" dataCellStyle="Comma">
      <calculatedColumnFormula>IF('DASHVOLT REVENUE SCHEDULE'!D7= "Bello Abdullahi", 'DASHVOLT REVENUE SCHEDULE'!G7, 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5:J97" totalsRowShown="0" headerRowDxfId="10" dataDxfId="9">
  <tableColumns count="9">
    <tableColumn id="1" xr3:uid="{00000000-0010-0000-0200-000001000000}" name="Date" dataDxfId="8">
      <calculatedColumnFormula>Table2[[#This Row],[Date]]</calculatedColumnFormula>
    </tableColumn>
    <tableColumn id="2" xr3:uid="{00000000-0010-0000-0200-000002000000}" name="Bike Code" dataDxfId="7">
      <calculatedColumnFormula>Table2[[#This Row],[Bike Code]]</calculatedColumnFormula>
    </tableColumn>
    <tableColumn id="3" xr3:uid="{00000000-0010-0000-0200-000003000000}" name="Status" dataDxfId="6">
      <calculatedColumnFormula>Table2[[#This Row],[Status]]</calculatedColumnFormula>
    </tableColumn>
    <tableColumn id="4" xr3:uid="{00000000-0010-0000-0200-000004000000}" name="Location" dataDxfId="5">
      <calculatedColumnFormula>Table2[[#This Row],[Location]]</calculatedColumnFormula>
    </tableColumn>
    <tableColumn id="5" xr3:uid="{00000000-0010-0000-0200-000005000000}" name="Aminu Ibrahim" dataDxfId="4">
      <calculatedColumnFormula>Table2[[#This Row],[Aminu Ibrahim]]*$L$6</calculatedColumnFormula>
    </tableColumn>
    <tableColumn id="6" xr3:uid="{00000000-0010-0000-0200-000006000000}" name="Bello Saulawa" dataDxfId="3">
      <calculatedColumnFormula>Table2[[#This Row],[Bello Saulawa]]*$L$6</calculatedColumnFormula>
    </tableColumn>
    <tableColumn id="7" xr3:uid="{00000000-0010-0000-0200-000007000000}" name="Murtala Hassan" dataDxfId="2">
      <calculatedColumnFormula>Table2[[#This Row],[Murtala Hassan]]*$L$6</calculatedColumnFormula>
    </tableColumn>
    <tableColumn id="8" xr3:uid="{00000000-0010-0000-0200-000008000000}" name="Babangida Monde" dataDxfId="1">
      <calculatedColumnFormula>Table2[[#This Row],[Babangida Monde]]*$L$6</calculatedColumnFormula>
    </tableColumn>
    <tableColumn id="9" xr3:uid="{00000000-0010-0000-0200-000009000000}" name="Bello Abdullahi" dataDxfId="0">
      <calculatedColumnFormula>Table2[[#This Row],[Bello Abdullahi]]*$L$6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0481-F3E7-4F09-9E65-36EA81BD3E0F}">
  <dimension ref="A2:E24"/>
  <sheetViews>
    <sheetView tabSelected="1" workbookViewId="0">
      <selection activeCell="E11" sqref="E11"/>
    </sheetView>
  </sheetViews>
  <sheetFormatPr defaultColWidth="11.6328125" defaultRowHeight="14.5" outlineLevelRow="1" x14ac:dyDescent="0.35"/>
  <cols>
    <col min="1" max="1" width="1.81640625" customWidth="1"/>
    <col min="2" max="2" width="29.453125" bestFit="1" customWidth="1"/>
    <col min="3" max="3" width="22.90625" customWidth="1"/>
    <col min="5" max="5" width="13" bestFit="1" customWidth="1"/>
  </cols>
  <sheetData>
    <row r="2" spans="1:5" ht="21" x14ac:dyDescent="0.5">
      <c r="A2" s="39" t="s">
        <v>53</v>
      </c>
    </row>
    <row r="3" spans="1:5" ht="15.5" x14ac:dyDescent="0.35">
      <c r="A3" s="40" t="s">
        <v>54</v>
      </c>
      <c r="B3" s="40"/>
      <c r="C3" s="41">
        <f>SUM(C4:C5)</f>
        <v>232900</v>
      </c>
      <c r="D3" s="42">
        <f>C3/$C$3</f>
        <v>1</v>
      </c>
      <c r="E3" s="43"/>
    </row>
    <row r="4" spans="1:5" x14ac:dyDescent="0.35">
      <c r="A4" s="44"/>
      <c r="B4" s="44" t="s">
        <v>55</v>
      </c>
      <c r="C4" s="45">
        <f>'DASHVOLT REVENUE SCHEDULE'!H99</f>
        <v>232900</v>
      </c>
      <c r="D4" s="46">
        <f>C4/$C$3</f>
        <v>1</v>
      </c>
    </row>
    <row r="5" spans="1:5" x14ac:dyDescent="0.35">
      <c r="A5" s="44"/>
      <c r="B5" s="44"/>
      <c r="C5" s="70">
        <v>0</v>
      </c>
      <c r="D5" s="46">
        <f>C5/$C$3</f>
        <v>0</v>
      </c>
    </row>
    <row r="6" spans="1:5" s="50" customFormat="1" ht="15.5" x14ac:dyDescent="0.35">
      <c r="A6" s="47" t="s">
        <v>56</v>
      </c>
      <c r="B6" s="47"/>
      <c r="C6" s="48">
        <f>SUM(C7:C8)</f>
        <v>275700</v>
      </c>
      <c r="D6" s="49">
        <f>C6/$C$3</f>
        <v>1.1837698583082867</v>
      </c>
    </row>
    <row r="7" spans="1:5" ht="15.5" x14ac:dyDescent="0.35">
      <c r="A7" s="47"/>
      <c r="B7" s="51" t="s">
        <v>68</v>
      </c>
      <c r="C7" s="52">
        <v>101300</v>
      </c>
      <c r="D7" s="53">
        <f t="shared" ref="D7:D8" si="0">C7/$C$3</f>
        <v>0.43495062258480033</v>
      </c>
    </row>
    <row r="8" spans="1:5" ht="15.5" x14ac:dyDescent="0.35">
      <c r="A8" s="47"/>
      <c r="B8" s="51" t="s">
        <v>69</v>
      </c>
      <c r="C8" s="52">
        <f>SUM('RIDER REVENUE SCHEDULE'!F47:J97)+45000</f>
        <v>174400</v>
      </c>
      <c r="D8" s="53">
        <f t="shared" si="0"/>
        <v>0.74881923572348652</v>
      </c>
    </row>
    <row r="9" spans="1:5" outlineLevel="1" x14ac:dyDescent="0.35">
      <c r="C9" s="54"/>
      <c r="D9" s="55"/>
    </row>
    <row r="10" spans="1:5" s="50" customFormat="1" ht="15.5" x14ac:dyDescent="0.35">
      <c r="A10" s="56"/>
      <c r="B10" s="56" t="s">
        <v>57</v>
      </c>
      <c r="C10" s="57">
        <f>C3-C6</f>
        <v>-42800</v>
      </c>
      <c r="D10" s="58">
        <f>C10/$C$3</f>
        <v>-0.18376985830828682</v>
      </c>
    </row>
    <row r="11" spans="1:5" x14ac:dyDescent="0.35">
      <c r="C11" s="54"/>
      <c r="D11" s="55"/>
    </row>
    <row r="12" spans="1:5" s="50" customFormat="1" ht="15.5" x14ac:dyDescent="0.35">
      <c r="A12" s="59"/>
      <c r="B12" s="59" t="s">
        <v>58</v>
      </c>
      <c r="C12" s="60">
        <f>SUM(C13:C18)</f>
        <v>0</v>
      </c>
      <c r="D12" s="61">
        <f>C12/$C$3</f>
        <v>0</v>
      </c>
    </row>
    <row r="13" spans="1:5" outlineLevel="1" x14ac:dyDescent="0.35">
      <c r="A13" s="62"/>
      <c r="B13" s="62" t="s">
        <v>59</v>
      </c>
      <c r="C13" s="63">
        <v>0</v>
      </c>
      <c r="D13" s="64">
        <f t="shared" ref="D13:D18" si="1">C13/$C$3</f>
        <v>0</v>
      </c>
      <c r="E13" s="65"/>
    </row>
    <row r="14" spans="1:5" outlineLevel="1" x14ac:dyDescent="0.35">
      <c r="A14" s="62"/>
      <c r="B14" s="62" t="s">
        <v>60</v>
      </c>
      <c r="C14" s="63">
        <v>0</v>
      </c>
      <c r="D14" s="64">
        <f t="shared" si="1"/>
        <v>0</v>
      </c>
      <c r="E14" s="65"/>
    </row>
    <row r="15" spans="1:5" outlineLevel="1" x14ac:dyDescent="0.35">
      <c r="A15" s="62"/>
      <c r="B15" s="62" t="s">
        <v>61</v>
      </c>
      <c r="C15" s="63">
        <v>0</v>
      </c>
      <c r="D15" s="64">
        <f t="shared" si="1"/>
        <v>0</v>
      </c>
      <c r="E15" s="65"/>
    </row>
    <row r="16" spans="1:5" outlineLevel="1" x14ac:dyDescent="0.35">
      <c r="A16" s="62"/>
      <c r="B16" s="62" t="s">
        <v>62</v>
      </c>
      <c r="C16" s="63">
        <v>0</v>
      </c>
      <c r="D16" s="64">
        <f t="shared" si="1"/>
        <v>0</v>
      </c>
      <c r="E16" s="66"/>
    </row>
    <row r="17" spans="1:5" outlineLevel="1" x14ac:dyDescent="0.35">
      <c r="A17" s="62"/>
      <c r="B17" s="62" t="s">
        <v>63</v>
      </c>
      <c r="C17" s="63">
        <v>0</v>
      </c>
      <c r="D17" s="64">
        <f t="shared" si="1"/>
        <v>0</v>
      </c>
      <c r="E17" s="65"/>
    </row>
    <row r="18" spans="1:5" outlineLevel="1" x14ac:dyDescent="0.35">
      <c r="A18" s="62"/>
      <c r="B18" s="62" t="s">
        <v>64</v>
      </c>
      <c r="C18" s="63">
        <f>ROUNDUP(SUM(C13:C17)*0.05,-6)</f>
        <v>0</v>
      </c>
      <c r="D18" s="64">
        <f t="shared" si="1"/>
        <v>0</v>
      </c>
      <c r="E18" s="65"/>
    </row>
    <row r="19" spans="1:5" outlineLevel="1" x14ac:dyDescent="0.35">
      <c r="C19" s="54"/>
    </row>
    <row r="20" spans="1:5" s="50" customFormat="1" ht="15.5" x14ac:dyDescent="0.35">
      <c r="A20" s="67"/>
      <c r="B20" s="67" t="s">
        <v>65</v>
      </c>
      <c r="C20" s="68">
        <f>C10-C12</f>
        <v>-42800</v>
      </c>
      <c r="D20" s="69">
        <f>C20/$C$3</f>
        <v>-0.18376985830828682</v>
      </c>
    </row>
    <row r="22" spans="1:5" s="50" customFormat="1" ht="15.5" x14ac:dyDescent="0.35">
      <c r="A22" s="47" t="s">
        <v>66</v>
      </c>
      <c r="B22" s="47"/>
      <c r="C22" s="48">
        <v>0</v>
      </c>
      <c r="D22" s="49">
        <f>C22/$C$3</f>
        <v>0</v>
      </c>
    </row>
    <row r="24" spans="1:5" s="50" customFormat="1" ht="15.5" x14ac:dyDescent="0.35">
      <c r="A24" s="67"/>
      <c r="B24" s="67" t="s">
        <v>67</v>
      </c>
      <c r="C24" s="68">
        <f>C20-C22</f>
        <v>-42800</v>
      </c>
      <c r="D24" s="69">
        <f>C24/$C$3</f>
        <v>-0.18376985830828682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2:L99"/>
  <sheetViews>
    <sheetView zoomScale="79" workbookViewId="0">
      <selection activeCell="B60" sqref="B60:B76"/>
    </sheetView>
  </sheetViews>
  <sheetFormatPr defaultRowHeight="13.5" x14ac:dyDescent="0.25"/>
  <cols>
    <col min="1" max="1" width="8.7265625" style="1"/>
    <col min="2" max="2" width="11.36328125" style="1" bestFit="1" customWidth="1"/>
    <col min="3" max="3" width="11.08984375" style="1" customWidth="1"/>
    <col min="4" max="4" width="19.6328125" style="1" bestFit="1" customWidth="1"/>
    <col min="5" max="5" width="13.08984375" style="1" bestFit="1" customWidth="1"/>
    <col min="6" max="6" width="16.90625" style="1" customWidth="1"/>
    <col min="7" max="7" width="12.90625" style="15" bestFit="1" customWidth="1"/>
    <col min="8" max="8" width="15.36328125" style="1" customWidth="1"/>
    <col min="9" max="9" width="8.7265625" style="1"/>
    <col min="10" max="10" width="14.08984375" style="1" customWidth="1"/>
    <col min="11" max="11" width="15.36328125" style="1" hidden="1" customWidth="1"/>
    <col min="12" max="16384" width="8.7265625" style="1"/>
  </cols>
  <sheetData>
    <row r="2" spans="2:12" ht="14" thickBot="1" x14ac:dyDescent="0.3"/>
    <row r="3" spans="2:12" ht="15" customHeight="1" thickBot="1" x14ac:dyDescent="0.35">
      <c r="B3" s="32" t="s">
        <v>12</v>
      </c>
      <c r="C3" s="33"/>
      <c r="D3" s="33"/>
      <c r="E3" s="33"/>
      <c r="F3" s="33"/>
      <c r="G3" s="33"/>
      <c r="H3" s="34"/>
    </row>
    <row r="5" spans="2:12" ht="14" thickBot="1" x14ac:dyDescent="0.3">
      <c r="B5" s="6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16" t="s">
        <v>6</v>
      </c>
      <c r="H5" s="8" t="s">
        <v>5</v>
      </c>
    </row>
    <row r="6" spans="2:12" x14ac:dyDescent="0.25">
      <c r="B6" s="9"/>
      <c r="G6" s="17">
        <v>0</v>
      </c>
      <c r="H6" s="10">
        <v>0</v>
      </c>
    </row>
    <row r="7" spans="2:12" x14ac:dyDescent="0.25">
      <c r="B7" s="11">
        <v>45900</v>
      </c>
      <c r="D7" s="1" t="s">
        <v>8</v>
      </c>
      <c r="E7" s="1" t="s">
        <v>16</v>
      </c>
      <c r="F7" s="1" t="s">
        <v>17</v>
      </c>
      <c r="G7" s="24">
        <v>2900</v>
      </c>
      <c r="H7" s="10">
        <f>H6+Table1[[#This Row],[Revenue]]</f>
        <v>2900</v>
      </c>
    </row>
    <row r="8" spans="2:12" x14ac:dyDescent="0.25">
      <c r="B8" s="11">
        <v>45900</v>
      </c>
      <c r="D8" s="1" t="s">
        <v>8</v>
      </c>
      <c r="E8" s="1" t="str">
        <f>E7</f>
        <v>COMPLETED</v>
      </c>
      <c r="F8" s="1" t="s">
        <v>18</v>
      </c>
      <c r="G8" s="24">
        <v>2500</v>
      </c>
      <c r="H8" s="10">
        <f>H7+Table1[[#This Row],[Revenue]]</f>
        <v>5400</v>
      </c>
      <c r="K8" s="3" t="s">
        <v>7</v>
      </c>
      <c r="L8" s="3"/>
    </row>
    <row r="9" spans="2:12" x14ac:dyDescent="0.25">
      <c r="B9" s="11">
        <v>45900</v>
      </c>
      <c r="D9" s="1" t="s">
        <v>8</v>
      </c>
      <c r="E9" s="1" t="s">
        <v>19</v>
      </c>
      <c r="F9" s="1" t="s">
        <v>18</v>
      </c>
      <c r="G9" s="24">
        <v>2500</v>
      </c>
      <c r="H9" s="10">
        <f>H8+Table1[[#This Row],[Revenue]]</f>
        <v>7900</v>
      </c>
      <c r="K9" s="3" t="s">
        <v>8</v>
      </c>
      <c r="L9" s="3" t="s">
        <v>29</v>
      </c>
    </row>
    <row r="10" spans="2:12" x14ac:dyDescent="0.25">
      <c r="B10" s="11">
        <v>45900</v>
      </c>
      <c r="D10" s="1" t="s">
        <v>8</v>
      </c>
      <c r="E10" s="1" t="s">
        <v>16</v>
      </c>
      <c r="F10" s="1" t="s">
        <v>20</v>
      </c>
      <c r="G10" s="24">
        <v>2900</v>
      </c>
      <c r="H10" s="10">
        <f>H9+Table1[[#This Row],[Revenue]]</f>
        <v>10800</v>
      </c>
      <c r="K10" s="3" t="s">
        <v>9</v>
      </c>
      <c r="L10" s="3"/>
    </row>
    <row r="11" spans="2:12" x14ac:dyDescent="0.25">
      <c r="B11" s="11">
        <v>45900</v>
      </c>
      <c r="D11" s="1" t="s">
        <v>8</v>
      </c>
      <c r="E11" s="1" t="s">
        <v>16</v>
      </c>
      <c r="F11" s="1" t="s">
        <v>21</v>
      </c>
      <c r="G11" s="24">
        <v>2500</v>
      </c>
      <c r="H11" s="10">
        <f>H10+Table1[[#This Row],[Revenue]]</f>
        <v>13300</v>
      </c>
      <c r="K11" s="4" t="s">
        <v>11</v>
      </c>
      <c r="L11" s="3"/>
    </row>
    <row r="12" spans="2:12" x14ac:dyDescent="0.25">
      <c r="B12" s="11">
        <v>45900</v>
      </c>
      <c r="D12" s="1" t="s">
        <v>8</v>
      </c>
      <c r="E12" s="1" t="s">
        <v>16</v>
      </c>
      <c r="F12" s="1" t="s">
        <v>20</v>
      </c>
      <c r="G12" s="24">
        <v>2900</v>
      </c>
      <c r="H12" s="10">
        <f>H11+Table1[[#This Row],[Revenue]]</f>
        <v>16200</v>
      </c>
      <c r="K12" s="3" t="s">
        <v>10</v>
      </c>
      <c r="L12" s="3"/>
    </row>
    <row r="13" spans="2:12" x14ac:dyDescent="0.25">
      <c r="B13" s="11">
        <v>45900</v>
      </c>
      <c r="D13" s="1" t="s">
        <v>9</v>
      </c>
      <c r="E13" s="1" t="s">
        <v>16</v>
      </c>
      <c r="F13" s="1" t="s">
        <v>22</v>
      </c>
      <c r="G13" s="24">
        <v>2500</v>
      </c>
      <c r="H13" s="10">
        <f>H12+Table1[[#This Row],[Revenue]]</f>
        <v>18700</v>
      </c>
      <c r="K13" s="3"/>
    </row>
    <row r="14" spans="2:12" x14ac:dyDescent="0.25">
      <c r="B14" s="11">
        <v>45900</v>
      </c>
      <c r="D14" s="1" t="s">
        <v>9</v>
      </c>
      <c r="E14" s="1" t="s">
        <v>16</v>
      </c>
      <c r="F14" s="1" t="s">
        <v>23</v>
      </c>
      <c r="G14" s="24">
        <v>2500</v>
      </c>
      <c r="H14" s="10">
        <f>H13+Table1[[#This Row],[Revenue]]</f>
        <v>21200</v>
      </c>
      <c r="K14" s="31"/>
    </row>
    <row r="15" spans="2:12" x14ac:dyDescent="0.25">
      <c r="B15" s="11">
        <v>45900</v>
      </c>
      <c r="D15" s="1" t="s">
        <v>9</v>
      </c>
      <c r="E15" s="1" t="s">
        <v>16</v>
      </c>
      <c r="F15" s="1" t="s">
        <v>24</v>
      </c>
      <c r="G15" s="24">
        <v>2200</v>
      </c>
      <c r="H15" s="10">
        <f>H14+Table1[[#This Row],[Revenue]]</f>
        <v>23400</v>
      </c>
    </row>
    <row r="16" spans="2:12" x14ac:dyDescent="0.25">
      <c r="B16" s="11">
        <v>45900</v>
      </c>
      <c r="D16" s="1" t="s">
        <v>9</v>
      </c>
      <c r="E16" s="1" t="s">
        <v>16</v>
      </c>
      <c r="F16" s="1" t="s">
        <v>25</v>
      </c>
      <c r="G16" s="24">
        <v>1700</v>
      </c>
      <c r="H16" s="10">
        <f>H15+Table1[[#This Row],[Revenue]]</f>
        <v>25100</v>
      </c>
    </row>
    <row r="17" spans="2:10" x14ac:dyDescent="0.25">
      <c r="B17" s="11">
        <v>45900</v>
      </c>
      <c r="D17" s="1" t="s">
        <v>10</v>
      </c>
      <c r="E17" s="1" t="s">
        <v>16</v>
      </c>
      <c r="F17" s="1" t="s">
        <v>22</v>
      </c>
      <c r="G17" s="24">
        <v>2500</v>
      </c>
      <c r="H17" s="10">
        <f>H16+Table1[[#This Row],[Revenue]]</f>
        <v>27600</v>
      </c>
    </row>
    <row r="18" spans="2:10" x14ac:dyDescent="0.25">
      <c r="B18" s="11">
        <v>45900</v>
      </c>
      <c r="D18" s="1" t="s">
        <v>10</v>
      </c>
      <c r="E18" s="1" t="s">
        <v>16</v>
      </c>
      <c r="F18" s="1" t="s">
        <v>25</v>
      </c>
      <c r="G18" s="24">
        <v>1700</v>
      </c>
      <c r="H18" s="10">
        <f>H17+Table1[[#This Row],[Revenue]]</f>
        <v>29300</v>
      </c>
    </row>
    <row r="19" spans="2:10" x14ac:dyDescent="0.25">
      <c r="B19" s="11">
        <v>45900</v>
      </c>
      <c r="D19" s="1" t="s">
        <v>10</v>
      </c>
      <c r="E19" s="1" t="s">
        <v>16</v>
      </c>
      <c r="F19" s="1" t="s">
        <v>18</v>
      </c>
      <c r="G19" s="24">
        <v>2500</v>
      </c>
      <c r="H19" s="10">
        <f>H18+Table1[[#This Row],[Revenue]]</f>
        <v>31800</v>
      </c>
    </row>
    <row r="20" spans="2:10" x14ac:dyDescent="0.25">
      <c r="B20" s="11">
        <v>45900</v>
      </c>
      <c r="D20" s="1" t="s">
        <v>10</v>
      </c>
      <c r="E20" s="1" t="s">
        <v>16</v>
      </c>
      <c r="F20" s="1" t="s">
        <v>22</v>
      </c>
      <c r="G20" s="24">
        <v>2500</v>
      </c>
      <c r="H20" s="10">
        <f>H19+Table1[[#This Row],[Revenue]]</f>
        <v>34300</v>
      </c>
    </row>
    <row r="21" spans="2:10" x14ac:dyDescent="0.25">
      <c r="B21" s="11">
        <v>45901</v>
      </c>
      <c r="D21" s="1" t="s">
        <v>8</v>
      </c>
      <c r="E21" s="1" t="s">
        <v>16</v>
      </c>
      <c r="F21" s="1" t="s">
        <v>30</v>
      </c>
      <c r="G21" s="24">
        <v>3200</v>
      </c>
      <c r="H21" s="10">
        <f>H20+Table1[[#This Row],[Revenue]]</f>
        <v>37500</v>
      </c>
    </row>
    <row r="22" spans="2:10" x14ac:dyDescent="0.25">
      <c r="B22" s="11">
        <v>45901</v>
      </c>
      <c r="D22" s="1" t="s">
        <v>8</v>
      </c>
      <c r="E22" s="1" t="s">
        <v>16</v>
      </c>
      <c r="F22" s="1" t="s">
        <v>21</v>
      </c>
      <c r="G22" s="24">
        <v>2500</v>
      </c>
      <c r="H22" s="10">
        <f>H21+Table1[[#This Row],[Revenue]]</f>
        <v>40000</v>
      </c>
    </row>
    <row r="23" spans="2:10" x14ac:dyDescent="0.25">
      <c r="B23" s="11">
        <v>45901</v>
      </c>
      <c r="D23" s="1" t="s">
        <v>8</v>
      </c>
      <c r="E23" s="1" t="s">
        <v>16</v>
      </c>
      <c r="F23" s="1" t="s">
        <v>31</v>
      </c>
      <c r="G23" s="24">
        <v>2700</v>
      </c>
      <c r="H23" s="10">
        <f>H22+Table1[[#This Row],[Revenue]]</f>
        <v>42700</v>
      </c>
    </row>
    <row r="24" spans="2:10" x14ac:dyDescent="0.25">
      <c r="B24" s="11">
        <v>45901</v>
      </c>
      <c r="D24" s="1" t="s">
        <v>8</v>
      </c>
      <c r="E24" s="1" t="s">
        <v>16</v>
      </c>
      <c r="F24" s="1" t="s">
        <v>32</v>
      </c>
      <c r="G24" s="24">
        <v>3000</v>
      </c>
      <c r="H24" s="10">
        <f>H23+Table1[[#This Row],[Revenue]]</f>
        <v>45700</v>
      </c>
      <c r="J24" s="10"/>
    </row>
    <row r="25" spans="2:10" x14ac:dyDescent="0.25">
      <c r="B25" s="11">
        <v>45901</v>
      </c>
      <c r="D25" s="1" t="s">
        <v>8</v>
      </c>
      <c r="E25" s="1" t="s">
        <v>16</v>
      </c>
      <c r="F25" s="1" t="s">
        <v>21</v>
      </c>
      <c r="G25" s="24">
        <v>2500</v>
      </c>
      <c r="H25" s="10">
        <f>H24+Table1[[#This Row],[Revenue]]</f>
        <v>48200</v>
      </c>
    </row>
    <row r="26" spans="2:10" x14ac:dyDescent="0.25">
      <c r="B26" s="11">
        <v>45901</v>
      </c>
      <c r="D26" s="1" t="s">
        <v>8</v>
      </c>
      <c r="E26" s="1" t="s">
        <v>16</v>
      </c>
      <c r="F26" s="1" t="s">
        <v>33</v>
      </c>
      <c r="G26" s="24">
        <v>2500</v>
      </c>
      <c r="H26" s="10">
        <f>H25+Table1[[#This Row],[Revenue]]</f>
        <v>50700</v>
      </c>
    </row>
    <row r="27" spans="2:10" x14ac:dyDescent="0.25">
      <c r="B27" s="11">
        <v>45901</v>
      </c>
      <c r="D27" s="1" t="s">
        <v>9</v>
      </c>
      <c r="E27" s="1" t="s">
        <v>16</v>
      </c>
      <c r="F27" s="1" t="s">
        <v>22</v>
      </c>
      <c r="G27" s="24">
        <v>2500</v>
      </c>
      <c r="H27" s="10">
        <f>H26+Table1[[#This Row],[Revenue]]</f>
        <v>53200</v>
      </c>
    </row>
    <row r="28" spans="2:10" x14ac:dyDescent="0.25">
      <c r="B28" s="11">
        <v>45901</v>
      </c>
      <c r="D28" s="1" t="s">
        <v>9</v>
      </c>
      <c r="E28" s="1" t="s">
        <v>16</v>
      </c>
      <c r="F28" s="1" t="s">
        <v>22</v>
      </c>
      <c r="G28" s="24">
        <v>2500</v>
      </c>
      <c r="H28" s="10">
        <f>H27+Table1[[#This Row],[Revenue]]</f>
        <v>55700</v>
      </c>
    </row>
    <row r="29" spans="2:10" x14ac:dyDescent="0.25">
      <c r="B29" s="11">
        <v>45901</v>
      </c>
      <c r="D29" s="1" t="s">
        <v>9</v>
      </c>
      <c r="E29" s="1" t="s">
        <v>16</v>
      </c>
      <c r="F29" s="1" t="s">
        <v>35</v>
      </c>
      <c r="G29" s="24">
        <v>2700</v>
      </c>
      <c r="H29" s="10">
        <f>H28+Table1[[#This Row],[Revenue]]</f>
        <v>58400</v>
      </c>
    </row>
    <row r="30" spans="2:10" x14ac:dyDescent="0.25">
      <c r="B30" s="11">
        <v>45901</v>
      </c>
      <c r="D30" s="1" t="s">
        <v>10</v>
      </c>
      <c r="E30" s="1" t="s">
        <v>16</v>
      </c>
      <c r="F30" s="1" t="s">
        <v>26</v>
      </c>
      <c r="G30" s="24">
        <v>2700</v>
      </c>
      <c r="H30" s="10">
        <f>H29+Table1[[#This Row],[Revenue]]</f>
        <v>61100</v>
      </c>
    </row>
    <row r="31" spans="2:10" x14ac:dyDescent="0.25">
      <c r="B31" s="11">
        <v>45901</v>
      </c>
      <c r="D31" s="1" t="s">
        <v>10</v>
      </c>
      <c r="E31" s="1" t="s">
        <v>16</v>
      </c>
      <c r="F31" s="1" t="s">
        <v>24</v>
      </c>
      <c r="G31" s="24">
        <v>2200</v>
      </c>
      <c r="H31" s="10">
        <f>H30+Table1[[#This Row],[Revenue]]</f>
        <v>63300</v>
      </c>
    </row>
    <row r="32" spans="2:10" x14ac:dyDescent="0.25">
      <c r="B32" s="29">
        <v>45901</v>
      </c>
      <c r="C32" s="30"/>
      <c r="D32" s="30" t="s">
        <v>10</v>
      </c>
      <c r="E32" s="30" t="s">
        <v>16</v>
      </c>
      <c r="F32" s="30" t="s">
        <v>27</v>
      </c>
      <c r="G32" s="24">
        <v>2200</v>
      </c>
      <c r="H32" s="10">
        <f>H31+Table1[[#This Row],[Revenue]]</f>
        <v>65500</v>
      </c>
    </row>
    <row r="33" spans="2:8" x14ac:dyDescent="0.25">
      <c r="B33" s="29">
        <v>45901</v>
      </c>
      <c r="C33" s="30"/>
      <c r="D33" s="30" t="s">
        <v>10</v>
      </c>
      <c r="E33" s="30" t="s">
        <v>16</v>
      </c>
      <c r="F33" s="30" t="s">
        <v>28</v>
      </c>
      <c r="G33" s="24">
        <v>2200</v>
      </c>
      <c r="H33" s="10">
        <f>H32+Table1[[#This Row],[Revenue]]</f>
        <v>67700</v>
      </c>
    </row>
    <row r="34" spans="2:8" x14ac:dyDescent="0.25">
      <c r="B34" s="29">
        <v>45901</v>
      </c>
      <c r="C34" s="30"/>
      <c r="D34" s="30" t="s">
        <v>8</v>
      </c>
      <c r="E34" s="30" t="s">
        <v>16</v>
      </c>
      <c r="F34" s="30" t="s">
        <v>34</v>
      </c>
      <c r="G34" s="24">
        <v>2200</v>
      </c>
      <c r="H34" s="10">
        <f>H33+Table1[[#This Row],[Revenue]]</f>
        <v>69900</v>
      </c>
    </row>
    <row r="35" spans="2:8" x14ac:dyDescent="0.25">
      <c r="B35" s="11">
        <v>45902</v>
      </c>
      <c r="D35" s="1" t="s">
        <v>10</v>
      </c>
      <c r="E35" s="1" t="s">
        <v>16</v>
      </c>
      <c r="F35" s="1" t="s">
        <v>22</v>
      </c>
      <c r="G35" s="24">
        <v>2500</v>
      </c>
      <c r="H35" s="10">
        <f>H34+Table1[[#This Row],[Revenue]]</f>
        <v>72400</v>
      </c>
    </row>
    <row r="36" spans="2:8" x14ac:dyDescent="0.25">
      <c r="B36" s="11">
        <v>45902</v>
      </c>
      <c r="D36" s="1" t="s">
        <v>9</v>
      </c>
      <c r="E36" s="1" t="s">
        <v>16</v>
      </c>
      <c r="F36" s="1" t="s">
        <v>36</v>
      </c>
      <c r="G36" s="24">
        <v>2500</v>
      </c>
      <c r="H36" s="10">
        <f>H35+Table1[[#This Row],[Revenue]]</f>
        <v>74900</v>
      </c>
    </row>
    <row r="37" spans="2:8" x14ac:dyDescent="0.25">
      <c r="B37" s="11">
        <v>45902</v>
      </c>
      <c r="D37" s="1" t="s">
        <v>8</v>
      </c>
      <c r="E37" s="1" t="s">
        <v>16</v>
      </c>
      <c r="F37" s="1" t="s">
        <v>37</v>
      </c>
      <c r="G37" s="24">
        <v>3200</v>
      </c>
      <c r="H37" s="10">
        <f>H36+Table1[[#This Row],[Revenue]]</f>
        <v>78100</v>
      </c>
    </row>
    <row r="38" spans="2:8" x14ac:dyDescent="0.25">
      <c r="B38" s="11">
        <v>45902</v>
      </c>
      <c r="D38" s="1" t="s">
        <v>10</v>
      </c>
      <c r="E38" s="1" t="s">
        <v>16</v>
      </c>
      <c r="F38" s="1" t="s">
        <v>24</v>
      </c>
      <c r="G38" s="24">
        <v>2200</v>
      </c>
      <c r="H38" s="10">
        <f>H37+Table1[[#This Row],[Revenue]]</f>
        <v>80300</v>
      </c>
    </row>
    <row r="39" spans="2:8" x14ac:dyDescent="0.25">
      <c r="B39" s="11">
        <v>45902</v>
      </c>
      <c r="D39" s="1" t="s">
        <v>9</v>
      </c>
      <c r="E39" s="1" t="s">
        <v>16</v>
      </c>
      <c r="F39" s="1" t="s">
        <v>28</v>
      </c>
      <c r="G39" s="24">
        <v>2200</v>
      </c>
      <c r="H39" s="10">
        <f>H38+Table1[[#This Row],[Revenue]]</f>
        <v>82500</v>
      </c>
    </row>
    <row r="40" spans="2:8" x14ac:dyDescent="0.25">
      <c r="B40" s="11">
        <v>45902</v>
      </c>
      <c r="D40" s="1" t="s">
        <v>9</v>
      </c>
      <c r="E40" s="1" t="s">
        <v>16</v>
      </c>
      <c r="F40" s="1" t="s">
        <v>34</v>
      </c>
      <c r="G40" s="24">
        <v>2500</v>
      </c>
      <c r="H40" s="10">
        <f>H39+Table1[[#This Row],[Revenue]]</f>
        <v>85000</v>
      </c>
    </row>
    <row r="41" spans="2:8" x14ac:dyDescent="0.25">
      <c r="B41" s="11">
        <v>45902</v>
      </c>
      <c r="D41" s="1" t="s">
        <v>10</v>
      </c>
      <c r="E41" s="1" t="s">
        <v>16</v>
      </c>
      <c r="F41" s="1" t="s">
        <v>28</v>
      </c>
      <c r="G41" s="24">
        <v>2200</v>
      </c>
      <c r="H41" s="10">
        <f>H40+Table1[[#This Row],[Revenue]]</f>
        <v>87200</v>
      </c>
    </row>
    <row r="42" spans="2:8" x14ac:dyDescent="0.25">
      <c r="B42" s="11">
        <v>45902</v>
      </c>
      <c r="D42" s="1" t="s">
        <v>8</v>
      </c>
      <c r="E42" s="1" t="s">
        <v>16</v>
      </c>
      <c r="F42" s="1" t="s">
        <v>31</v>
      </c>
      <c r="G42" s="24">
        <v>2700</v>
      </c>
      <c r="H42" s="10">
        <f>H41+Table1[[#This Row],[Revenue]]</f>
        <v>89900</v>
      </c>
    </row>
    <row r="43" spans="2:8" x14ac:dyDescent="0.25">
      <c r="B43" s="11">
        <v>45902</v>
      </c>
      <c r="D43" s="1" t="s">
        <v>8</v>
      </c>
      <c r="E43" s="1" t="s">
        <v>16</v>
      </c>
      <c r="F43" s="1" t="s">
        <v>38</v>
      </c>
      <c r="G43" s="24">
        <v>4000</v>
      </c>
      <c r="H43" s="10">
        <f>H42+Table1[[#This Row],[Revenue]]</f>
        <v>93900</v>
      </c>
    </row>
    <row r="44" spans="2:8" x14ac:dyDescent="0.25">
      <c r="B44" s="11">
        <v>45902</v>
      </c>
      <c r="D44" s="1" t="s">
        <v>10</v>
      </c>
      <c r="E44" s="1" t="s">
        <v>16</v>
      </c>
      <c r="F44" s="1" t="s">
        <v>25</v>
      </c>
      <c r="G44" s="24">
        <v>1700</v>
      </c>
      <c r="H44" s="10">
        <f>H43+Table1[[#This Row],[Revenue]]</f>
        <v>95600</v>
      </c>
    </row>
    <row r="45" spans="2:8" x14ac:dyDescent="0.25">
      <c r="B45" s="11">
        <v>45902</v>
      </c>
      <c r="D45" s="1" t="s">
        <v>10</v>
      </c>
      <c r="E45" s="1" t="s">
        <v>16</v>
      </c>
      <c r="F45" s="1" t="s">
        <v>31</v>
      </c>
      <c r="G45" s="24">
        <v>2700</v>
      </c>
      <c r="H45" s="10">
        <f>H44+Table1[[#This Row],[Revenue]]</f>
        <v>98300</v>
      </c>
    </row>
    <row r="46" spans="2:8" x14ac:dyDescent="0.25">
      <c r="B46" s="11">
        <v>45902</v>
      </c>
      <c r="D46" s="1" t="s">
        <v>8</v>
      </c>
      <c r="E46" s="1" t="s">
        <v>16</v>
      </c>
      <c r="F46" s="1" t="s">
        <v>31</v>
      </c>
      <c r="G46" s="24">
        <v>2700</v>
      </c>
      <c r="H46" s="10">
        <f>H45+Table1[[#This Row],[Revenue]]</f>
        <v>101000</v>
      </c>
    </row>
    <row r="47" spans="2:8" x14ac:dyDescent="0.25">
      <c r="B47" s="11">
        <v>45902</v>
      </c>
      <c r="D47" s="1" t="s">
        <v>8</v>
      </c>
      <c r="E47" s="1" t="s">
        <v>16</v>
      </c>
      <c r="F47" s="1" t="s">
        <v>33</v>
      </c>
      <c r="G47" s="24">
        <v>2500</v>
      </c>
      <c r="H47" s="10">
        <f>H46+Table1[[#This Row],[Revenue]]</f>
        <v>103500</v>
      </c>
    </row>
    <row r="48" spans="2:8" x14ac:dyDescent="0.25">
      <c r="B48" s="11">
        <v>45903</v>
      </c>
      <c r="D48" s="1" t="s">
        <v>8</v>
      </c>
      <c r="E48" s="1" t="s">
        <v>16</v>
      </c>
      <c r="F48" s="1" t="s">
        <v>31</v>
      </c>
      <c r="G48" s="24">
        <v>2700</v>
      </c>
      <c r="H48" s="10">
        <f>H47+Table1[[#This Row],[Revenue]]</f>
        <v>106200</v>
      </c>
    </row>
    <row r="49" spans="2:8" x14ac:dyDescent="0.25">
      <c r="B49" s="11">
        <v>45903</v>
      </c>
      <c r="D49" s="1" t="s">
        <v>8</v>
      </c>
      <c r="E49" s="1" t="s">
        <v>16</v>
      </c>
      <c r="F49" s="1" t="s">
        <v>32</v>
      </c>
      <c r="G49" s="24">
        <v>3000</v>
      </c>
      <c r="H49" s="10">
        <f>H48+Table1[[#This Row],[Revenue]]</f>
        <v>109200</v>
      </c>
    </row>
    <row r="50" spans="2:8" x14ac:dyDescent="0.25">
      <c r="B50" s="11">
        <v>45903</v>
      </c>
      <c r="D50" s="1" t="s">
        <v>9</v>
      </c>
      <c r="E50" s="1" t="s">
        <v>16</v>
      </c>
      <c r="F50" s="1" t="s">
        <v>21</v>
      </c>
      <c r="G50" s="24">
        <v>2500</v>
      </c>
      <c r="H50" s="10">
        <f>H49+Table1[[#This Row],[Revenue]]</f>
        <v>111700</v>
      </c>
    </row>
    <row r="51" spans="2:8" x14ac:dyDescent="0.25">
      <c r="B51" s="11">
        <v>45903</v>
      </c>
      <c r="D51" s="1" t="s">
        <v>10</v>
      </c>
      <c r="E51" s="1" t="s">
        <v>16</v>
      </c>
      <c r="F51" s="1" t="s">
        <v>24</v>
      </c>
      <c r="G51" s="24">
        <v>2200</v>
      </c>
      <c r="H51" s="10">
        <f>H50+Table1[[#This Row],[Revenue]]</f>
        <v>113900</v>
      </c>
    </row>
    <row r="52" spans="2:8" x14ac:dyDescent="0.25">
      <c r="B52" s="11">
        <v>45903</v>
      </c>
      <c r="D52" s="1" t="s">
        <v>10</v>
      </c>
      <c r="E52" s="1" t="s">
        <v>16</v>
      </c>
      <c r="F52" s="1" t="s">
        <v>39</v>
      </c>
      <c r="G52" s="24">
        <v>2700</v>
      </c>
      <c r="H52" s="10">
        <f>H51+Table1[[#This Row],[Revenue]]</f>
        <v>116600</v>
      </c>
    </row>
    <row r="53" spans="2:8" x14ac:dyDescent="0.25">
      <c r="B53" s="11">
        <v>45903</v>
      </c>
      <c r="D53" s="1" t="s">
        <v>8</v>
      </c>
      <c r="E53" s="1" t="s">
        <v>16</v>
      </c>
      <c r="F53" s="1" t="s">
        <v>32</v>
      </c>
      <c r="G53" s="24">
        <v>3000</v>
      </c>
      <c r="H53" s="10">
        <f>H52+Table1[[#This Row],[Revenue]]</f>
        <v>119600</v>
      </c>
    </row>
    <row r="54" spans="2:8" x14ac:dyDescent="0.25">
      <c r="B54" s="11">
        <v>45903</v>
      </c>
      <c r="D54" s="1" t="s">
        <v>8</v>
      </c>
      <c r="E54" s="1" t="s">
        <v>16</v>
      </c>
      <c r="F54" s="1" t="s">
        <v>40</v>
      </c>
      <c r="G54" s="24">
        <v>3000</v>
      </c>
      <c r="H54" s="10">
        <f>H53+Table1[[#This Row],[Revenue]]</f>
        <v>122600</v>
      </c>
    </row>
    <row r="55" spans="2:8" x14ac:dyDescent="0.25">
      <c r="B55" s="11">
        <v>45904</v>
      </c>
      <c r="D55" s="1" t="s">
        <v>10</v>
      </c>
      <c r="E55" s="1" t="s">
        <v>16</v>
      </c>
      <c r="F55" s="1" t="s">
        <v>21</v>
      </c>
      <c r="G55" s="24">
        <v>2500</v>
      </c>
      <c r="H55" s="10">
        <f>H54+Table1[[#This Row],[Revenue]]</f>
        <v>125100</v>
      </c>
    </row>
    <row r="56" spans="2:8" x14ac:dyDescent="0.25">
      <c r="B56" s="11">
        <v>45904</v>
      </c>
      <c r="D56" s="1" t="s">
        <v>10</v>
      </c>
      <c r="E56" s="1" t="s">
        <v>16</v>
      </c>
      <c r="F56" s="1" t="s">
        <v>28</v>
      </c>
      <c r="G56" s="24">
        <v>2200</v>
      </c>
      <c r="H56" s="10">
        <f>H55+Table1[[#This Row],[Revenue]]</f>
        <v>127300</v>
      </c>
    </row>
    <row r="57" spans="2:8" x14ac:dyDescent="0.25">
      <c r="B57" s="11">
        <v>45904</v>
      </c>
      <c r="D57" s="1" t="s">
        <v>10</v>
      </c>
      <c r="E57" s="1" t="s">
        <v>16</v>
      </c>
      <c r="F57" s="1" t="s">
        <v>30</v>
      </c>
      <c r="G57" s="24">
        <v>3200</v>
      </c>
      <c r="H57" s="10">
        <f>H56+Table1[[#This Row],[Revenue]]</f>
        <v>130500</v>
      </c>
    </row>
    <row r="58" spans="2:8" x14ac:dyDescent="0.25">
      <c r="B58" s="11">
        <v>45904</v>
      </c>
      <c r="D58" s="1" t="s">
        <v>10</v>
      </c>
      <c r="E58" s="1" t="s">
        <v>16</v>
      </c>
      <c r="F58" s="1" t="s">
        <v>21</v>
      </c>
      <c r="G58" s="24">
        <v>2500</v>
      </c>
      <c r="H58" s="10">
        <f>H57+Table1[[#This Row],[Revenue]]</f>
        <v>133000</v>
      </c>
    </row>
    <row r="59" spans="2:8" x14ac:dyDescent="0.25">
      <c r="B59" s="11">
        <v>45904</v>
      </c>
      <c r="D59" s="1" t="s">
        <v>10</v>
      </c>
      <c r="E59" s="1" t="s">
        <v>19</v>
      </c>
      <c r="F59" s="1" t="s">
        <v>41</v>
      </c>
      <c r="G59" s="24">
        <v>2500</v>
      </c>
      <c r="H59" s="10">
        <f>H58+Table1[[#This Row],[Revenue]]</f>
        <v>135500</v>
      </c>
    </row>
    <row r="60" spans="2:8" x14ac:dyDescent="0.25">
      <c r="B60" s="11">
        <f>B59</f>
        <v>45904</v>
      </c>
      <c r="D60" s="1" t="s">
        <v>9</v>
      </c>
      <c r="E60" s="1" t="s">
        <v>16</v>
      </c>
      <c r="F60" s="1" t="s">
        <v>42</v>
      </c>
      <c r="G60" s="24">
        <v>2500</v>
      </c>
      <c r="H60" s="10">
        <f>H59+Table1[[#This Row],[Revenue]]</f>
        <v>138000</v>
      </c>
    </row>
    <row r="61" spans="2:8" x14ac:dyDescent="0.25">
      <c r="B61" s="11">
        <f t="shared" ref="B61:B76" si="0">B60</f>
        <v>45904</v>
      </c>
      <c r="D61" s="1" t="s">
        <v>9</v>
      </c>
      <c r="E61" s="1" t="s">
        <v>16</v>
      </c>
      <c r="F61" s="1" t="s">
        <v>43</v>
      </c>
      <c r="G61" s="24">
        <v>2500</v>
      </c>
      <c r="H61" s="10">
        <f>H60+Table1[[#This Row],[Revenue]]</f>
        <v>140500</v>
      </c>
    </row>
    <row r="62" spans="2:8" x14ac:dyDescent="0.25">
      <c r="B62" s="11">
        <f t="shared" si="0"/>
        <v>45904</v>
      </c>
      <c r="D62" s="1" t="s">
        <v>9</v>
      </c>
      <c r="E62" s="1" t="s">
        <v>16</v>
      </c>
      <c r="F62" s="1" t="s">
        <v>22</v>
      </c>
      <c r="G62" s="24">
        <v>2500</v>
      </c>
      <c r="H62" s="10">
        <f>H61+Table1[[#This Row],[Revenue]]</f>
        <v>143000</v>
      </c>
    </row>
    <row r="63" spans="2:8" x14ac:dyDescent="0.25">
      <c r="B63" s="11">
        <f t="shared" si="0"/>
        <v>45904</v>
      </c>
      <c r="D63" s="1" t="s">
        <v>9</v>
      </c>
      <c r="E63" s="1" t="s">
        <v>16</v>
      </c>
      <c r="F63" s="1" t="s">
        <v>28</v>
      </c>
      <c r="G63" s="24">
        <v>2200</v>
      </c>
      <c r="H63" s="10">
        <f>H62+Table1[[#This Row],[Revenue]]</f>
        <v>145200</v>
      </c>
    </row>
    <row r="64" spans="2:8" x14ac:dyDescent="0.25">
      <c r="B64" s="11">
        <f t="shared" si="0"/>
        <v>45904</v>
      </c>
      <c r="D64" s="1" t="s">
        <v>8</v>
      </c>
      <c r="E64" s="1" t="s">
        <v>16</v>
      </c>
      <c r="F64" s="1" t="s">
        <v>24</v>
      </c>
      <c r="G64" s="24">
        <v>2200</v>
      </c>
      <c r="H64" s="10">
        <f>H63+Table1[[#This Row],[Revenue]]</f>
        <v>147400</v>
      </c>
    </row>
    <row r="65" spans="2:8" x14ac:dyDescent="0.25">
      <c r="B65" s="11">
        <f t="shared" si="0"/>
        <v>45904</v>
      </c>
      <c r="D65" s="1" t="s">
        <v>8</v>
      </c>
      <c r="E65" s="1" t="s">
        <v>16</v>
      </c>
      <c r="F65" s="1" t="s">
        <v>44</v>
      </c>
      <c r="G65" s="24">
        <v>3000</v>
      </c>
      <c r="H65" s="10">
        <f>H64+Table1[[#This Row],[Revenue]]</f>
        <v>150400</v>
      </c>
    </row>
    <row r="66" spans="2:8" x14ac:dyDescent="0.25">
      <c r="B66" s="11">
        <f t="shared" si="0"/>
        <v>45904</v>
      </c>
      <c r="D66" s="1" t="s">
        <v>8</v>
      </c>
      <c r="E66" s="1" t="s">
        <v>16</v>
      </c>
      <c r="F66" s="1" t="s">
        <v>44</v>
      </c>
      <c r="G66" s="24">
        <v>3000</v>
      </c>
      <c r="H66" s="10">
        <f>H65+Table1[[#This Row],[Revenue]]</f>
        <v>153400</v>
      </c>
    </row>
    <row r="67" spans="2:8" x14ac:dyDescent="0.25">
      <c r="B67" s="11">
        <f t="shared" si="0"/>
        <v>45904</v>
      </c>
      <c r="D67" s="1" t="s">
        <v>9</v>
      </c>
      <c r="E67" s="1" t="s">
        <v>16</v>
      </c>
      <c r="F67" s="1" t="s">
        <v>27</v>
      </c>
      <c r="G67" s="24">
        <v>2200</v>
      </c>
      <c r="H67" s="10">
        <f>H66+Table1[[#This Row],[Revenue]]</f>
        <v>155600</v>
      </c>
    </row>
    <row r="68" spans="2:8" x14ac:dyDescent="0.25">
      <c r="B68" s="11">
        <f t="shared" si="0"/>
        <v>45904</v>
      </c>
      <c r="D68" s="1" t="s">
        <v>9</v>
      </c>
      <c r="E68" s="1" t="s">
        <v>16</v>
      </c>
      <c r="F68" s="1" t="s">
        <v>45</v>
      </c>
      <c r="G68" s="24">
        <v>2500</v>
      </c>
      <c r="H68" s="10">
        <f>H67+Table1[[#This Row],[Revenue]]</f>
        <v>158100</v>
      </c>
    </row>
    <row r="69" spans="2:8" x14ac:dyDescent="0.25">
      <c r="B69" s="11">
        <f t="shared" si="0"/>
        <v>45904</v>
      </c>
      <c r="D69" s="1" t="s">
        <v>9</v>
      </c>
      <c r="E69" s="1" t="s">
        <v>16</v>
      </c>
      <c r="F69" s="1" t="s">
        <v>26</v>
      </c>
      <c r="G69" s="24">
        <v>2700</v>
      </c>
      <c r="H69" s="10">
        <f>H68+Table1[[#This Row],[Revenue]]</f>
        <v>160800</v>
      </c>
    </row>
    <row r="70" spans="2:8" x14ac:dyDescent="0.25">
      <c r="B70" s="11">
        <f t="shared" si="0"/>
        <v>45904</v>
      </c>
      <c r="D70" s="1" t="s">
        <v>10</v>
      </c>
      <c r="E70" s="1" t="s">
        <v>16</v>
      </c>
      <c r="F70" s="1" t="s">
        <v>31</v>
      </c>
      <c r="G70" s="24">
        <v>2700</v>
      </c>
      <c r="H70" s="10">
        <f>H69+Table1[[#This Row],[Revenue]]</f>
        <v>163500</v>
      </c>
    </row>
    <row r="71" spans="2:8" x14ac:dyDescent="0.25">
      <c r="B71" s="11">
        <f t="shared" si="0"/>
        <v>45904</v>
      </c>
      <c r="D71" s="1" t="s">
        <v>10</v>
      </c>
      <c r="E71" s="1" t="s">
        <v>16</v>
      </c>
      <c r="F71" s="1" t="s">
        <v>46</v>
      </c>
      <c r="G71" s="24">
        <v>2500</v>
      </c>
      <c r="H71" s="10">
        <f>H70+Table1[[#This Row],[Revenue]]</f>
        <v>166000</v>
      </c>
    </row>
    <row r="72" spans="2:8" x14ac:dyDescent="0.25">
      <c r="B72" s="11">
        <f t="shared" si="0"/>
        <v>45904</v>
      </c>
      <c r="D72" s="1" t="s">
        <v>8</v>
      </c>
      <c r="E72" s="1" t="s">
        <v>16</v>
      </c>
      <c r="F72" s="1" t="s">
        <v>30</v>
      </c>
      <c r="G72" s="24">
        <v>3200</v>
      </c>
      <c r="H72" s="10">
        <f>H71+Table1[[#This Row],[Revenue]]</f>
        <v>169200</v>
      </c>
    </row>
    <row r="73" spans="2:8" x14ac:dyDescent="0.25">
      <c r="B73" s="11">
        <f t="shared" si="0"/>
        <v>45904</v>
      </c>
      <c r="D73" s="1" t="s">
        <v>8</v>
      </c>
      <c r="E73" s="1" t="s">
        <v>16</v>
      </c>
      <c r="F73" s="1" t="s">
        <v>24</v>
      </c>
      <c r="G73" s="24">
        <v>2200</v>
      </c>
      <c r="H73" s="10">
        <f>H72+Table1[[#This Row],[Revenue]]</f>
        <v>171400</v>
      </c>
    </row>
    <row r="74" spans="2:8" x14ac:dyDescent="0.25">
      <c r="B74" s="11">
        <f t="shared" si="0"/>
        <v>45904</v>
      </c>
      <c r="D74" s="1" t="s">
        <v>8</v>
      </c>
      <c r="E74" s="1" t="s">
        <v>16</v>
      </c>
      <c r="F74" s="1" t="s">
        <v>24</v>
      </c>
      <c r="G74" s="24">
        <v>2200</v>
      </c>
      <c r="H74" s="10">
        <f>H73+Table1[[#This Row],[Revenue]]</f>
        <v>173600</v>
      </c>
    </row>
    <row r="75" spans="2:8" x14ac:dyDescent="0.25">
      <c r="B75" s="11">
        <f t="shared" si="0"/>
        <v>45904</v>
      </c>
      <c r="D75" s="1" t="s">
        <v>8</v>
      </c>
      <c r="E75" s="1" t="s">
        <v>16</v>
      </c>
      <c r="F75" s="1" t="s">
        <v>26</v>
      </c>
      <c r="G75" s="24">
        <v>2700</v>
      </c>
      <c r="H75" s="10">
        <f>H74+Table1[[#This Row],[Revenue]]</f>
        <v>176300</v>
      </c>
    </row>
    <row r="76" spans="2:8" x14ac:dyDescent="0.25">
      <c r="B76" s="11">
        <f t="shared" si="0"/>
        <v>45904</v>
      </c>
      <c r="D76" s="1" t="s">
        <v>10</v>
      </c>
      <c r="E76" s="1" t="s">
        <v>16</v>
      </c>
      <c r="F76" s="1" t="s">
        <v>25</v>
      </c>
      <c r="G76" s="24">
        <v>1700</v>
      </c>
      <c r="H76" s="10">
        <f>H75+Table1[[#This Row],[Revenue]]</f>
        <v>178000</v>
      </c>
    </row>
    <row r="77" spans="2:8" x14ac:dyDescent="0.25">
      <c r="B77" s="11">
        <v>45905</v>
      </c>
      <c r="D77" s="1" t="s">
        <v>9</v>
      </c>
      <c r="E77" s="1" t="s">
        <v>16</v>
      </c>
      <c r="F77" s="1" t="s">
        <v>26</v>
      </c>
      <c r="G77" s="24">
        <v>2700</v>
      </c>
      <c r="H77" s="10">
        <f>H76+Table1[[#This Row],[Revenue]]</f>
        <v>180700</v>
      </c>
    </row>
    <row r="78" spans="2:8" x14ac:dyDescent="0.25">
      <c r="B78" s="11">
        <v>45905</v>
      </c>
      <c r="D78" s="1" t="s">
        <v>9</v>
      </c>
      <c r="E78" s="1" t="s">
        <v>16</v>
      </c>
      <c r="F78" s="1" t="s">
        <v>26</v>
      </c>
      <c r="G78" s="24">
        <v>2700</v>
      </c>
      <c r="H78" s="10">
        <f>H77+Table1[[#This Row],[Revenue]]</f>
        <v>183400</v>
      </c>
    </row>
    <row r="79" spans="2:8" x14ac:dyDescent="0.25">
      <c r="B79" s="11">
        <v>45905</v>
      </c>
      <c r="D79" s="1" t="s">
        <v>9</v>
      </c>
      <c r="E79" s="1" t="s">
        <v>16</v>
      </c>
      <c r="F79" s="1" t="s">
        <v>47</v>
      </c>
      <c r="G79" s="24">
        <v>2700</v>
      </c>
      <c r="H79" s="10">
        <f>H78+Table1[[#This Row],[Revenue]]</f>
        <v>186100</v>
      </c>
    </row>
    <row r="80" spans="2:8" x14ac:dyDescent="0.25">
      <c r="B80" s="11">
        <v>45905</v>
      </c>
      <c r="D80" s="1" t="s">
        <v>10</v>
      </c>
      <c r="E80" s="1" t="s">
        <v>16</v>
      </c>
      <c r="F80" s="1" t="s">
        <v>48</v>
      </c>
      <c r="G80" s="24">
        <v>3200</v>
      </c>
      <c r="H80" s="10">
        <f>H79+Table1[[#This Row],[Revenue]]</f>
        <v>189300</v>
      </c>
    </row>
    <row r="81" spans="2:8" x14ac:dyDescent="0.25">
      <c r="B81" s="11">
        <v>45905</v>
      </c>
      <c r="D81" s="1" t="s">
        <v>8</v>
      </c>
      <c r="E81" s="1" t="s">
        <v>16</v>
      </c>
      <c r="F81" s="1" t="s">
        <v>25</v>
      </c>
      <c r="G81" s="24">
        <v>1700</v>
      </c>
      <c r="H81" s="10">
        <f>H80+Table1[[#This Row],[Revenue]]</f>
        <v>191000</v>
      </c>
    </row>
    <row r="82" spans="2:8" x14ac:dyDescent="0.25">
      <c r="B82" s="11">
        <v>45905</v>
      </c>
      <c r="D82" s="1" t="s">
        <v>8</v>
      </c>
      <c r="E82" s="1" t="s">
        <v>16</v>
      </c>
      <c r="F82" s="1" t="s">
        <v>49</v>
      </c>
      <c r="G82" s="24">
        <v>2700</v>
      </c>
      <c r="H82" s="10">
        <f>H81+Table1[[#This Row],[Revenue]]</f>
        <v>193700</v>
      </c>
    </row>
    <row r="83" spans="2:8" x14ac:dyDescent="0.25">
      <c r="B83" s="11">
        <v>45905</v>
      </c>
      <c r="D83" s="1" t="s">
        <v>8</v>
      </c>
      <c r="E83" s="1" t="s">
        <v>16</v>
      </c>
      <c r="F83" s="1" t="s">
        <v>27</v>
      </c>
      <c r="G83" s="24">
        <v>2200</v>
      </c>
      <c r="H83" s="10">
        <f>H82+Table1[[#This Row],[Revenue]]</f>
        <v>195900</v>
      </c>
    </row>
    <row r="84" spans="2:8" x14ac:dyDescent="0.25">
      <c r="B84" s="11">
        <v>45905</v>
      </c>
      <c r="D84" s="1" t="s">
        <v>8</v>
      </c>
      <c r="E84" s="1" t="s">
        <v>16</v>
      </c>
      <c r="F84" s="1" t="s">
        <v>24</v>
      </c>
      <c r="G84" s="24">
        <v>2200</v>
      </c>
      <c r="H84" s="10">
        <f>H83+Table1[[#This Row],[Revenue]]</f>
        <v>198100</v>
      </c>
    </row>
    <row r="85" spans="2:8" x14ac:dyDescent="0.25">
      <c r="B85" s="11">
        <v>45905</v>
      </c>
      <c r="D85" s="1" t="s">
        <v>8</v>
      </c>
      <c r="E85" s="1" t="s">
        <v>16</v>
      </c>
      <c r="F85" s="1" t="s">
        <v>50</v>
      </c>
      <c r="G85" s="24">
        <v>3200</v>
      </c>
      <c r="H85" s="10">
        <f>H84+Table1[[#This Row],[Revenue]]</f>
        <v>201300</v>
      </c>
    </row>
    <row r="86" spans="2:8" x14ac:dyDescent="0.25">
      <c r="B86" s="11">
        <v>45906</v>
      </c>
      <c r="D86" s="1" t="s">
        <v>8</v>
      </c>
      <c r="E86" s="1" t="s">
        <v>16</v>
      </c>
      <c r="F86" s="1" t="s">
        <v>51</v>
      </c>
      <c r="G86" s="24">
        <v>2500</v>
      </c>
      <c r="H86" s="10">
        <f>H85+Table1[[#This Row],[Revenue]]</f>
        <v>203800</v>
      </c>
    </row>
    <row r="87" spans="2:8" x14ac:dyDescent="0.25">
      <c r="B87" s="11">
        <v>45906</v>
      </c>
      <c r="D87" s="1" t="s">
        <v>8</v>
      </c>
      <c r="E87" s="1" t="s">
        <v>16</v>
      </c>
      <c r="F87" s="1" t="s">
        <v>26</v>
      </c>
      <c r="G87" s="24">
        <v>2700</v>
      </c>
      <c r="H87" s="10">
        <f>H86+Table1[[#This Row],[Revenue]]</f>
        <v>206500</v>
      </c>
    </row>
    <row r="88" spans="2:8" x14ac:dyDescent="0.25">
      <c r="B88" s="11">
        <v>45906</v>
      </c>
      <c r="D88" s="1" t="s">
        <v>8</v>
      </c>
      <c r="E88" s="1" t="s">
        <v>16</v>
      </c>
      <c r="F88" s="1" t="s">
        <v>24</v>
      </c>
      <c r="G88" s="24">
        <v>2200</v>
      </c>
      <c r="H88" s="10">
        <f>H87+Table1[[#This Row],[Revenue]]</f>
        <v>208700</v>
      </c>
    </row>
    <row r="89" spans="2:8" x14ac:dyDescent="0.25">
      <c r="B89" s="11">
        <v>45906</v>
      </c>
      <c r="D89" s="1" t="s">
        <v>8</v>
      </c>
      <c r="E89" s="1" t="s">
        <v>16</v>
      </c>
      <c r="F89" s="1" t="s">
        <v>25</v>
      </c>
      <c r="G89" s="24">
        <v>1700</v>
      </c>
      <c r="H89" s="10">
        <f>H88+Table1[[#This Row],[Revenue]]</f>
        <v>210400</v>
      </c>
    </row>
    <row r="90" spans="2:8" x14ac:dyDescent="0.25">
      <c r="B90" s="11">
        <v>45906</v>
      </c>
      <c r="D90" s="1" t="s">
        <v>8</v>
      </c>
      <c r="E90" s="1" t="s">
        <v>16</v>
      </c>
      <c r="F90" s="1" t="s">
        <v>48</v>
      </c>
      <c r="G90" s="24">
        <v>3200</v>
      </c>
      <c r="H90" s="10">
        <f>H89+Table1[[#This Row],[Revenue]]</f>
        <v>213600</v>
      </c>
    </row>
    <row r="91" spans="2:8" x14ac:dyDescent="0.25">
      <c r="B91" s="11">
        <v>45906</v>
      </c>
      <c r="D91" s="1" t="s">
        <v>8</v>
      </c>
      <c r="E91" s="1" t="s">
        <v>16</v>
      </c>
      <c r="F91" s="1" t="s">
        <v>32</v>
      </c>
      <c r="G91" s="24">
        <v>3000</v>
      </c>
      <c r="H91" s="10">
        <f>H90+Table1[[#This Row],[Revenue]]</f>
        <v>216600</v>
      </c>
    </row>
    <row r="92" spans="2:8" x14ac:dyDescent="0.25">
      <c r="B92" s="11">
        <v>45906</v>
      </c>
      <c r="D92" s="1" t="s">
        <v>8</v>
      </c>
      <c r="E92" s="1" t="s">
        <v>16</v>
      </c>
      <c r="F92" s="1" t="s">
        <v>52</v>
      </c>
      <c r="G92" s="24">
        <v>2900</v>
      </c>
      <c r="H92" s="10">
        <f>H91+Table1[[#This Row],[Revenue]]</f>
        <v>219500</v>
      </c>
    </row>
    <row r="93" spans="2:8" x14ac:dyDescent="0.25">
      <c r="B93" s="11">
        <v>45906</v>
      </c>
      <c r="D93" s="1" t="s">
        <v>10</v>
      </c>
      <c r="E93" s="1" t="s">
        <v>16</v>
      </c>
      <c r="F93" s="1" t="s">
        <v>26</v>
      </c>
      <c r="G93" s="24">
        <v>2700</v>
      </c>
      <c r="H93" s="10">
        <f>H92+Table1[[#This Row],[Revenue]]</f>
        <v>222200</v>
      </c>
    </row>
    <row r="94" spans="2:8" x14ac:dyDescent="0.25">
      <c r="B94" s="11">
        <f>B93</f>
        <v>45906</v>
      </c>
      <c r="D94" s="1" t="s">
        <v>10</v>
      </c>
      <c r="E94" s="1" t="s">
        <v>16</v>
      </c>
      <c r="F94" s="1" t="s">
        <v>37</v>
      </c>
      <c r="G94" s="24">
        <v>3200</v>
      </c>
      <c r="H94" s="10">
        <f>H93+Table1[[#This Row],[Revenue]]</f>
        <v>225400</v>
      </c>
    </row>
    <row r="95" spans="2:8" x14ac:dyDescent="0.25">
      <c r="B95" s="11">
        <f t="shared" ref="B95:B97" si="1">B94</f>
        <v>45906</v>
      </c>
      <c r="D95" s="1" t="s">
        <v>10</v>
      </c>
      <c r="E95" s="1" t="s">
        <v>16</v>
      </c>
      <c r="F95" s="1" t="s">
        <v>45</v>
      </c>
      <c r="G95" s="24">
        <v>2500</v>
      </c>
      <c r="H95" s="10">
        <f>H94+Table1[[#This Row],[Revenue]]</f>
        <v>227900</v>
      </c>
    </row>
    <row r="96" spans="2:8" x14ac:dyDescent="0.25">
      <c r="B96" s="11">
        <f t="shared" si="1"/>
        <v>45906</v>
      </c>
      <c r="D96" s="1" t="s">
        <v>10</v>
      </c>
      <c r="E96" s="1" t="s">
        <v>16</v>
      </c>
      <c r="F96" s="1" t="s">
        <v>46</v>
      </c>
      <c r="G96" s="24">
        <v>2500</v>
      </c>
      <c r="H96" s="10">
        <f>H95+Table1[[#This Row],[Revenue]]</f>
        <v>230400</v>
      </c>
    </row>
    <row r="97" spans="2:8" x14ac:dyDescent="0.25">
      <c r="B97" s="11">
        <f t="shared" si="1"/>
        <v>45906</v>
      </c>
      <c r="D97" s="1" t="s">
        <v>10</v>
      </c>
      <c r="E97" s="1" t="s">
        <v>16</v>
      </c>
      <c r="F97" s="1" t="s">
        <v>23</v>
      </c>
      <c r="G97" s="24">
        <v>2500</v>
      </c>
      <c r="H97" s="10">
        <f>H96+Table1[[#This Row],[Revenue]]</f>
        <v>232900</v>
      </c>
    </row>
    <row r="98" spans="2:8" x14ac:dyDescent="0.25">
      <c r="B98" s="11"/>
      <c r="G98" s="24">
        <v>0</v>
      </c>
      <c r="H98" s="10">
        <f>H97+Table1[[#This Row],[Revenue]]</f>
        <v>232900</v>
      </c>
    </row>
    <row r="99" spans="2:8" s="23" customFormat="1" ht="14" x14ac:dyDescent="0.3">
      <c r="B99" s="35" t="s">
        <v>15</v>
      </c>
      <c r="C99" s="35"/>
      <c r="D99" s="35"/>
      <c r="E99" s="35"/>
      <c r="F99" s="35"/>
      <c r="G99" s="21">
        <f>SUM(G7:G98)</f>
        <v>232900</v>
      </c>
      <c r="H99" s="22">
        <f>H98</f>
        <v>232900</v>
      </c>
    </row>
  </sheetData>
  <mergeCells count="2">
    <mergeCell ref="B3:H3"/>
    <mergeCell ref="B99:F99"/>
  </mergeCells>
  <dataValidations count="1">
    <dataValidation type="list" allowBlank="1" showInputMessage="1" showErrorMessage="1" sqref="D7:D98" xr:uid="{00000000-0002-0000-0000-000000000000}">
      <formula1>$K$8:$K$12</formula1>
    </dataValidation>
  </dataValidations>
  <pageMargins left="0.7" right="0.7" top="0.75" bottom="0.75" header="0.3" footer="0.3"/>
  <pageSetup orientation="portrait" r:id="rId1"/>
  <ignoredErrors>
    <ignoredError sqref="D7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B2:L98"/>
  <sheetViews>
    <sheetView topLeftCell="A79" zoomScaleNormal="85" workbookViewId="0">
      <selection activeCell="G47" sqref="G47"/>
    </sheetView>
  </sheetViews>
  <sheetFormatPr defaultRowHeight="13.5" x14ac:dyDescent="0.25"/>
  <cols>
    <col min="1" max="1" width="8.7265625" style="1"/>
    <col min="2" max="2" width="10.54296875" style="1" bestFit="1" customWidth="1"/>
    <col min="3" max="3" width="11.453125" style="2" bestFit="1" customWidth="1"/>
    <col min="4" max="4" width="14.6328125" style="2" bestFit="1" customWidth="1"/>
    <col min="5" max="5" width="22.6328125" style="2" bestFit="1" customWidth="1"/>
    <col min="6" max="6" width="15.7265625" style="2" bestFit="1" customWidth="1"/>
    <col min="7" max="7" width="14.6328125" style="2" bestFit="1" customWidth="1"/>
    <col min="8" max="8" width="16.453125" style="2" bestFit="1" customWidth="1"/>
    <col min="9" max="9" width="18.453125" style="2" bestFit="1" customWidth="1"/>
    <col min="10" max="10" width="15.7265625" style="2" bestFit="1" customWidth="1"/>
    <col min="11" max="11" width="13.453125" style="1" bestFit="1" customWidth="1"/>
    <col min="12" max="12" width="21.08984375" style="1" bestFit="1" customWidth="1"/>
    <col min="13" max="16384" width="8.7265625" style="1"/>
  </cols>
  <sheetData>
    <row r="2" spans="2:12" ht="14" thickBot="1" x14ac:dyDescent="0.3"/>
    <row r="3" spans="2:12" ht="14.5" thickBot="1" x14ac:dyDescent="0.35">
      <c r="B3" s="32" t="s">
        <v>13</v>
      </c>
      <c r="C3" s="33"/>
      <c r="D3" s="33"/>
      <c r="E3" s="33"/>
      <c r="F3" s="33"/>
      <c r="G3" s="33"/>
      <c r="H3" s="33"/>
      <c r="I3" s="33"/>
      <c r="J3" s="34"/>
    </row>
    <row r="4" spans="2:12" ht="14" thickBot="1" x14ac:dyDescent="0.3"/>
    <row r="5" spans="2:12" ht="14" thickBot="1" x14ac:dyDescent="0.3">
      <c r="B5" s="5" t="s">
        <v>0</v>
      </c>
      <c r="C5" s="12" t="s">
        <v>1</v>
      </c>
      <c r="D5" s="12" t="s">
        <v>3</v>
      </c>
      <c r="E5" s="12" t="s">
        <v>4</v>
      </c>
      <c r="F5" s="12" t="s">
        <v>7</v>
      </c>
      <c r="G5" s="12" t="s">
        <v>8</v>
      </c>
      <c r="H5" s="12" t="s">
        <v>9</v>
      </c>
      <c r="I5" s="12" t="s">
        <v>11</v>
      </c>
      <c r="J5" s="14" t="s">
        <v>10</v>
      </c>
    </row>
    <row r="6" spans="2:12" x14ac:dyDescent="0.25">
      <c r="B6" s="11">
        <f>'DASHVOLT REVENUE SCHEDULE'!B7</f>
        <v>45900</v>
      </c>
      <c r="C6" s="13">
        <f>'DASHVOLT REVENUE SCHEDULE'!C7</f>
        <v>0</v>
      </c>
      <c r="D6" s="13" t="str">
        <f>'DASHVOLT REVENUE SCHEDULE'!E7</f>
        <v>COMPLETED</v>
      </c>
      <c r="E6" s="13" t="str">
        <f>'DASHVOLT REVENUE SCHEDULE'!F7</f>
        <v>JAHI</v>
      </c>
      <c r="F6" s="13">
        <f>IF('DASHVOLT REVENUE SCHEDULE'!D7= "Aminu Ibrahim", 'DASHVOLT REVENUE SCHEDULE'!G7, 0)</f>
        <v>0</v>
      </c>
      <c r="G6" s="13">
        <f>IF('DASHVOLT REVENUE SCHEDULE'!D7= "Bello Saulawa",'DASHVOLT REVENUE SCHEDULE'!G7, 0)</f>
        <v>2900</v>
      </c>
      <c r="H6" s="13">
        <f>IF('DASHVOLT REVENUE SCHEDULE'!D7= "Murtala Hassan", 'DASHVOLT REVENUE SCHEDULE'!G7, 0)</f>
        <v>0</v>
      </c>
      <c r="I6" s="13">
        <f>IF('DASHVOLT REVENUE SCHEDULE'!D7= "Babangida Monde", 'DASHVOLT REVENUE SCHEDULE'!G7, 0)</f>
        <v>0</v>
      </c>
      <c r="J6" s="13">
        <f>IF('DASHVOLT REVENUE SCHEDULE'!D7= "Bello Abdullahi", 'DASHVOLT REVENUE SCHEDULE'!G7, 0)</f>
        <v>0</v>
      </c>
    </row>
    <row r="7" spans="2:12" x14ac:dyDescent="0.25">
      <c r="B7" s="11">
        <f>'DASHVOLT REVENUE SCHEDULE'!B8</f>
        <v>45900</v>
      </c>
      <c r="C7" s="13">
        <f>'DASHVOLT REVENUE SCHEDULE'!C8</f>
        <v>0</v>
      </c>
      <c r="D7" s="13" t="str">
        <f>'DASHVOLT REVENUE SCHEDULE'!E8</f>
        <v>COMPLETED</v>
      </c>
      <c r="E7" s="13" t="str">
        <f>'DASHVOLT REVENUE SCHEDULE'!F8</f>
        <v>Mitama</v>
      </c>
      <c r="F7" s="13">
        <f>IF('DASHVOLT REVENUE SCHEDULE'!D8= "Aminu Ibrahim", 'DASHVOLT REVENUE SCHEDULE'!G8, 0)</f>
        <v>0</v>
      </c>
      <c r="G7" s="13">
        <f>IF('DASHVOLT REVENUE SCHEDULE'!D8= "Bello Saulawa",'DASHVOLT REVENUE SCHEDULE'!G8, 0)</f>
        <v>2500</v>
      </c>
      <c r="H7" s="13">
        <f>IF('DASHVOLT REVENUE SCHEDULE'!D8= "Murtala Hassan", 'DASHVOLT REVENUE SCHEDULE'!G8, 0)</f>
        <v>0</v>
      </c>
      <c r="I7" s="13">
        <f>IF('DASHVOLT REVENUE SCHEDULE'!D8= "Babangida Monde", 'DASHVOLT REVENUE SCHEDULE'!G8, 0)</f>
        <v>0</v>
      </c>
      <c r="J7" s="13">
        <f>IF('DASHVOLT REVENUE SCHEDULE'!D8= "Bello Abdullahi", 'DASHVOLT REVENUE SCHEDULE'!G8, 0)</f>
        <v>0</v>
      </c>
    </row>
    <row r="8" spans="2:12" x14ac:dyDescent="0.25">
      <c r="B8" s="11">
        <f>'DASHVOLT REVENUE SCHEDULE'!B9</f>
        <v>45900</v>
      </c>
      <c r="C8" s="13">
        <f>'DASHVOLT REVENUE SCHEDULE'!C9</f>
        <v>0</v>
      </c>
      <c r="D8" s="13" t="str">
        <f>'DASHVOLT REVENUE SCHEDULE'!E9</f>
        <v>cOMPLETED</v>
      </c>
      <c r="E8" s="13" t="str">
        <f>'DASHVOLT REVENUE SCHEDULE'!F9</f>
        <v>Mitama</v>
      </c>
      <c r="F8" s="13">
        <f>IF('DASHVOLT REVENUE SCHEDULE'!D9= "Aminu Ibrahim", 'DASHVOLT REVENUE SCHEDULE'!G9, 0)</f>
        <v>0</v>
      </c>
      <c r="G8" s="13">
        <f>IF('DASHVOLT REVENUE SCHEDULE'!D9= "Bello Saulawa",'DASHVOLT REVENUE SCHEDULE'!G9, 0)</f>
        <v>2500</v>
      </c>
      <c r="H8" s="13">
        <f>IF('DASHVOLT REVENUE SCHEDULE'!D9= "Murtala Hassan", 'DASHVOLT REVENUE SCHEDULE'!G9, 0)</f>
        <v>0</v>
      </c>
      <c r="I8" s="13">
        <f>IF('DASHVOLT REVENUE SCHEDULE'!D9= "Babangida Monde", 'DASHVOLT REVENUE SCHEDULE'!G9, 0)</f>
        <v>0</v>
      </c>
      <c r="J8" s="13">
        <f>IF('DASHVOLT REVENUE SCHEDULE'!D9= "Bello Abdullahi", 'DASHVOLT REVENUE SCHEDULE'!G9, 0)</f>
        <v>0</v>
      </c>
    </row>
    <row r="9" spans="2:12" x14ac:dyDescent="0.25">
      <c r="B9" s="11">
        <f>'DASHVOLT REVENUE SCHEDULE'!B10</f>
        <v>45900</v>
      </c>
      <c r="C9" s="13">
        <f>'DASHVOLT REVENUE SCHEDULE'!C10</f>
        <v>0</v>
      </c>
      <c r="D9" s="13" t="str">
        <f>'DASHVOLT REVENUE SCHEDULE'!E10</f>
        <v>COMPLETED</v>
      </c>
      <c r="E9" s="13" t="str">
        <f>'DASHVOLT REVENUE SCHEDULE'!F10</f>
        <v>Dawaki</v>
      </c>
      <c r="F9" s="13">
        <f>IF('DASHVOLT REVENUE SCHEDULE'!D10= "Aminu Ibrahim", 'DASHVOLT REVENUE SCHEDULE'!G10, 0)</f>
        <v>0</v>
      </c>
      <c r="G9" s="13">
        <f>IF('DASHVOLT REVENUE SCHEDULE'!D10= "Bello Saulawa",'DASHVOLT REVENUE SCHEDULE'!G10, 0)</f>
        <v>2900</v>
      </c>
      <c r="H9" s="13">
        <f>IF('DASHVOLT REVENUE SCHEDULE'!D10= "Murtala Hassan", 'DASHVOLT REVENUE SCHEDULE'!G10, 0)</f>
        <v>0</v>
      </c>
      <c r="I9" s="13">
        <f>IF('DASHVOLT REVENUE SCHEDULE'!D10= "Babangida Monde", 'DASHVOLT REVENUE SCHEDULE'!G10, 0)</f>
        <v>0</v>
      </c>
      <c r="J9" s="13">
        <f>IF('DASHVOLT REVENUE SCHEDULE'!D10= "Bello Abdullahi", 'DASHVOLT REVENUE SCHEDULE'!G10, 0)</f>
        <v>0</v>
      </c>
    </row>
    <row r="10" spans="2:12" x14ac:dyDescent="0.25">
      <c r="B10" s="11">
        <f>'DASHVOLT REVENUE SCHEDULE'!B11</f>
        <v>45900</v>
      </c>
      <c r="C10" s="13">
        <f>'DASHVOLT REVENUE SCHEDULE'!C11</f>
        <v>0</v>
      </c>
      <c r="D10" s="13" t="str">
        <f>'DASHVOLT REVENUE SCHEDULE'!E11</f>
        <v>COMPLETED</v>
      </c>
      <c r="E10" s="13" t="str">
        <f>'DASHVOLT REVENUE SCHEDULE'!F11</f>
        <v>Jabi</v>
      </c>
      <c r="F10" s="13">
        <f>IF('DASHVOLT REVENUE SCHEDULE'!D11= "Aminu Ibrahim", 'DASHVOLT REVENUE SCHEDULE'!G11, 0)</f>
        <v>0</v>
      </c>
      <c r="G10" s="13">
        <f>IF('DASHVOLT REVENUE SCHEDULE'!D11= "Bello Saulawa",'DASHVOLT REVENUE SCHEDULE'!G11, 0)</f>
        <v>2500</v>
      </c>
      <c r="H10" s="13">
        <f>IF('DASHVOLT REVENUE SCHEDULE'!D11= "Murtala Hassan", 'DASHVOLT REVENUE SCHEDULE'!G11, 0)</f>
        <v>0</v>
      </c>
      <c r="I10" s="13">
        <f>IF('DASHVOLT REVENUE SCHEDULE'!D11= "Babangida Monde", 'DASHVOLT REVENUE SCHEDULE'!G11, 0)</f>
        <v>0</v>
      </c>
      <c r="J10" s="13">
        <f>IF('DASHVOLT REVENUE SCHEDULE'!D11= "Bello Abdullahi", 'DASHVOLT REVENUE SCHEDULE'!G11, 0)</f>
        <v>0</v>
      </c>
    </row>
    <row r="11" spans="2:12" x14ac:dyDescent="0.25">
      <c r="B11" s="11">
        <f>'DASHVOLT REVENUE SCHEDULE'!B12</f>
        <v>45900</v>
      </c>
      <c r="C11" s="13">
        <f>'DASHVOLT REVENUE SCHEDULE'!C12</f>
        <v>0</v>
      </c>
      <c r="D11" s="13" t="str">
        <f>'DASHVOLT REVENUE SCHEDULE'!E12</f>
        <v>COMPLETED</v>
      </c>
      <c r="E11" s="13" t="str">
        <f>'DASHVOLT REVENUE SCHEDULE'!F12</f>
        <v>Dawaki</v>
      </c>
      <c r="F11" s="13">
        <f>IF('DASHVOLT REVENUE SCHEDULE'!D12= "Aminu Ibrahim", 'DASHVOLT REVENUE SCHEDULE'!G12, 0)</f>
        <v>0</v>
      </c>
      <c r="G11" s="13">
        <f>IF('DASHVOLT REVENUE SCHEDULE'!D12= "Bello Saulawa",'DASHVOLT REVENUE SCHEDULE'!G12, 0)</f>
        <v>2900</v>
      </c>
      <c r="H11" s="13">
        <f>IF('DASHVOLT REVENUE SCHEDULE'!D12= "Murtala Hassan", 'DASHVOLT REVENUE SCHEDULE'!G12, 0)</f>
        <v>0</v>
      </c>
      <c r="I11" s="13">
        <f>IF('DASHVOLT REVENUE SCHEDULE'!D12= "Babangida Monde", 'DASHVOLT REVENUE SCHEDULE'!G12, 0)</f>
        <v>0</v>
      </c>
      <c r="J11" s="13">
        <f>IF('DASHVOLT REVENUE SCHEDULE'!D12= "Bello Abdullahi", 'DASHVOLT REVENUE SCHEDULE'!G12, 0)</f>
        <v>0</v>
      </c>
    </row>
    <row r="12" spans="2:12" x14ac:dyDescent="0.25">
      <c r="B12" s="11">
        <f>'DASHVOLT REVENUE SCHEDULE'!B13</f>
        <v>45900</v>
      </c>
      <c r="C12" s="13">
        <f>'DASHVOLT REVENUE SCHEDULE'!C13</f>
        <v>0</v>
      </c>
      <c r="D12" s="13" t="str">
        <f>'DASHVOLT REVENUE SCHEDULE'!E13</f>
        <v>COMPLETED</v>
      </c>
      <c r="E12" s="13" t="str">
        <f>'DASHVOLT REVENUE SCHEDULE'!F13</f>
        <v>Wuse2</v>
      </c>
      <c r="F12" s="13">
        <f>IF('DASHVOLT REVENUE SCHEDULE'!D13= "Aminu Ibrahim", 'DASHVOLT REVENUE SCHEDULE'!G13, 0)</f>
        <v>0</v>
      </c>
      <c r="G12" s="13">
        <f>IF('DASHVOLT REVENUE SCHEDULE'!D13= "Bello Saulawa",'DASHVOLT REVENUE SCHEDULE'!G13, 0)</f>
        <v>0</v>
      </c>
      <c r="H12" s="13">
        <f>IF('DASHVOLT REVENUE SCHEDULE'!D13= "Murtala Hassan", 'DASHVOLT REVENUE SCHEDULE'!G13, 0)</f>
        <v>2500</v>
      </c>
      <c r="I12" s="13">
        <f>IF('DASHVOLT REVENUE SCHEDULE'!D13= "Babangida Monde", 'DASHVOLT REVENUE SCHEDULE'!G13, 0)</f>
        <v>0</v>
      </c>
      <c r="J12" s="13">
        <f>IF('DASHVOLT REVENUE SCHEDULE'!D13= "Bello Abdullahi", 'DASHVOLT REVENUE SCHEDULE'!G13, 0)</f>
        <v>0</v>
      </c>
      <c r="L12" s="18">
        <f>SUM(G6:G35)</f>
        <v>34800</v>
      </c>
    </row>
    <row r="13" spans="2:12" x14ac:dyDescent="0.25">
      <c r="B13" s="11">
        <f>'DASHVOLT REVENUE SCHEDULE'!B14</f>
        <v>45900</v>
      </c>
      <c r="C13" s="13">
        <f>'DASHVOLT REVENUE SCHEDULE'!C14</f>
        <v>0</v>
      </c>
      <c r="D13" s="13" t="str">
        <f>'DASHVOLT REVENUE SCHEDULE'!E14</f>
        <v>COMPLETED</v>
      </c>
      <c r="E13" s="13" t="str">
        <f>'DASHVOLT REVENUE SCHEDULE'!F14</f>
        <v>Utako</v>
      </c>
      <c r="F13" s="13">
        <f>IF('DASHVOLT REVENUE SCHEDULE'!D14= "Aminu Ibrahim", 'DASHVOLT REVENUE SCHEDULE'!G14, 0)</f>
        <v>0</v>
      </c>
      <c r="G13" s="13">
        <f>IF('DASHVOLT REVENUE SCHEDULE'!D14= "Bello Saulawa",'DASHVOLT REVENUE SCHEDULE'!G14, 0)</f>
        <v>0</v>
      </c>
      <c r="H13" s="13">
        <f>IF('DASHVOLT REVENUE SCHEDULE'!D14= "Murtala Hassan", 'DASHVOLT REVENUE SCHEDULE'!G14, 0)</f>
        <v>2500</v>
      </c>
      <c r="I13" s="13">
        <f>IF('DASHVOLT REVENUE SCHEDULE'!D14= "Babangida Monde", 'DASHVOLT REVENUE SCHEDULE'!G14, 0)</f>
        <v>0</v>
      </c>
      <c r="J13" s="13">
        <f>IF('DASHVOLT REVENUE SCHEDULE'!D14= "Bello Abdullahi", 'DASHVOLT REVENUE SCHEDULE'!G14, 0)</f>
        <v>0</v>
      </c>
    </row>
    <row r="14" spans="2:12" x14ac:dyDescent="0.25">
      <c r="B14" s="11">
        <f>'DASHVOLT REVENUE SCHEDULE'!B15</f>
        <v>45900</v>
      </c>
      <c r="C14" s="13">
        <f>'DASHVOLT REVENUE SCHEDULE'!C15</f>
        <v>0</v>
      </c>
      <c r="D14" s="13" t="str">
        <f>'DASHVOLT REVENUE SCHEDULE'!E15</f>
        <v>COMPLETED</v>
      </c>
      <c r="E14" s="13" t="str">
        <f>'DASHVOLT REVENUE SCHEDULE'!F15</f>
        <v>Life camp</v>
      </c>
      <c r="F14" s="13">
        <f>IF('DASHVOLT REVENUE SCHEDULE'!D15= "Aminu Ibrahim", 'DASHVOLT REVENUE SCHEDULE'!G15, 0)</f>
        <v>0</v>
      </c>
      <c r="G14" s="13">
        <f>IF('DASHVOLT REVENUE SCHEDULE'!D15= "Bello Saulawa",'DASHVOLT REVENUE SCHEDULE'!G15, 0)</f>
        <v>0</v>
      </c>
      <c r="H14" s="13">
        <f>IF('DASHVOLT REVENUE SCHEDULE'!D15= "Murtala Hassan", 'DASHVOLT REVENUE SCHEDULE'!G15, 0)</f>
        <v>2200</v>
      </c>
      <c r="I14" s="13">
        <f>IF('DASHVOLT REVENUE SCHEDULE'!D15= "Babangida Monde", 'DASHVOLT REVENUE SCHEDULE'!G15, 0)</f>
        <v>0</v>
      </c>
      <c r="J14" s="13">
        <f>IF('DASHVOLT REVENUE SCHEDULE'!D15= "Bello Abdullahi", 'DASHVOLT REVENUE SCHEDULE'!G15, 0)</f>
        <v>0</v>
      </c>
    </row>
    <row r="15" spans="2:12" x14ac:dyDescent="0.25">
      <c r="B15" s="11">
        <f>'DASHVOLT REVENUE SCHEDULE'!B16</f>
        <v>45900</v>
      </c>
      <c r="C15" s="13">
        <f>'DASHVOLT REVENUE SCHEDULE'!C16</f>
        <v>0</v>
      </c>
      <c r="D15" s="13" t="str">
        <f>'DASHVOLT REVENUE SCHEDULE'!E16</f>
        <v>COMPLETED</v>
      </c>
      <c r="E15" s="13" t="str">
        <f>'DASHVOLT REVENUE SCHEDULE'!F16</f>
        <v>Kado</v>
      </c>
      <c r="F15" s="13">
        <f>IF('DASHVOLT REVENUE SCHEDULE'!D16= "Aminu Ibrahim", 'DASHVOLT REVENUE SCHEDULE'!G16, 0)</f>
        <v>0</v>
      </c>
      <c r="G15" s="13">
        <f>IF('DASHVOLT REVENUE SCHEDULE'!D16= "Bello Saulawa",'DASHVOLT REVENUE SCHEDULE'!G16, 0)</f>
        <v>0</v>
      </c>
      <c r="H15" s="13">
        <f>IF('DASHVOLT REVENUE SCHEDULE'!D16= "Murtala Hassan", 'DASHVOLT REVENUE SCHEDULE'!G16, 0)</f>
        <v>1700</v>
      </c>
      <c r="I15" s="13">
        <f>IF('DASHVOLT REVENUE SCHEDULE'!D16= "Babangida Monde", 'DASHVOLT REVENUE SCHEDULE'!G16, 0)</f>
        <v>0</v>
      </c>
      <c r="J15" s="13">
        <f>IF('DASHVOLT REVENUE SCHEDULE'!D16= "Bello Abdullahi", 'DASHVOLT REVENUE SCHEDULE'!G16, 0)</f>
        <v>0</v>
      </c>
    </row>
    <row r="16" spans="2:12" x14ac:dyDescent="0.25">
      <c r="B16" s="11">
        <f>'DASHVOLT REVENUE SCHEDULE'!B17</f>
        <v>45900</v>
      </c>
      <c r="C16" s="13">
        <f>'DASHVOLT REVENUE SCHEDULE'!C17</f>
        <v>0</v>
      </c>
      <c r="D16" s="13" t="str">
        <f>'DASHVOLT REVENUE SCHEDULE'!E17</f>
        <v>COMPLETED</v>
      </c>
      <c r="E16" s="13" t="str">
        <f>'DASHVOLT REVENUE SCHEDULE'!F17</f>
        <v>Wuse2</v>
      </c>
      <c r="F16" s="13">
        <f>IF('DASHVOLT REVENUE SCHEDULE'!D17= "Aminu Ibrahim", 'DASHVOLT REVENUE SCHEDULE'!G17, 0)</f>
        <v>0</v>
      </c>
      <c r="G16" s="13">
        <f>IF('DASHVOLT REVENUE SCHEDULE'!D17= "Bello Saulawa",'DASHVOLT REVENUE SCHEDULE'!G17, 0)</f>
        <v>0</v>
      </c>
      <c r="H16" s="13">
        <f>IF('DASHVOLT REVENUE SCHEDULE'!D17= "Murtala Hassan", 'DASHVOLT REVENUE SCHEDULE'!G17, 0)</f>
        <v>0</v>
      </c>
      <c r="I16" s="13">
        <f>IF('DASHVOLT REVENUE SCHEDULE'!D17= "Babangida Monde", 'DASHVOLT REVENUE SCHEDULE'!G17, 0)</f>
        <v>0</v>
      </c>
      <c r="J16" s="13">
        <f>IF('DASHVOLT REVENUE SCHEDULE'!D17= "Bello Abdullahi", 'DASHVOLT REVENUE SCHEDULE'!G17, 0)</f>
        <v>2500</v>
      </c>
    </row>
    <row r="17" spans="2:10" x14ac:dyDescent="0.25">
      <c r="B17" s="11">
        <f>'DASHVOLT REVENUE SCHEDULE'!B18</f>
        <v>45900</v>
      </c>
      <c r="C17" s="13">
        <f>'DASHVOLT REVENUE SCHEDULE'!C18</f>
        <v>0</v>
      </c>
      <c r="D17" s="13" t="str">
        <f>'DASHVOLT REVENUE SCHEDULE'!E18</f>
        <v>COMPLETED</v>
      </c>
      <c r="E17" s="13" t="str">
        <f>'DASHVOLT REVENUE SCHEDULE'!F18</f>
        <v>Kado</v>
      </c>
      <c r="F17" s="13">
        <f>IF('DASHVOLT REVENUE SCHEDULE'!D18= "Aminu Ibrahim", 'DASHVOLT REVENUE SCHEDULE'!G18, 0)</f>
        <v>0</v>
      </c>
      <c r="G17" s="13">
        <f>IF('DASHVOLT REVENUE SCHEDULE'!D18= "Bello Saulawa",'DASHVOLT REVENUE SCHEDULE'!G18, 0)</f>
        <v>0</v>
      </c>
      <c r="H17" s="13">
        <f>IF('DASHVOLT REVENUE SCHEDULE'!D18= "Murtala Hassan", 'DASHVOLT REVENUE SCHEDULE'!G18, 0)</f>
        <v>0</v>
      </c>
      <c r="I17" s="13">
        <f>IF('DASHVOLT REVENUE SCHEDULE'!D18= "Babangida Monde", 'DASHVOLT REVENUE SCHEDULE'!G18, 0)</f>
        <v>0</v>
      </c>
      <c r="J17" s="13">
        <f>IF('DASHVOLT REVENUE SCHEDULE'!D18= "Bello Abdullahi", 'DASHVOLT REVENUE SCHEDULE'!G18, 0)</f>
        <v>1700</v>
      </c>
    </row>
    <row r="18" spans="2:10" x14ac:dyDescent="0.25">
      <c r="B18" s="11">
        <f>'DASHVOLT REVENUE SCHEDULE'!B19</f>
        <v>45900</v>
      </c>
      <c r="C18" s="13">
        <f>'DASHVOLT REVENUE SCHEDULE'!C19</f>
        <v>0</v>
      </c>
      <c r="D18" s="13" t="str">
        <f>'DASHVOLT REVENUE SCHEDULE'!E19</f>
        <v>COMPLETED</v>
      </c>
      <c r="E18" s="13" t="str">
        <f>'DASHVOLT REVENUE SCHEDULE'!F19</f>
        <v>Mitama</v>
      </c>
      <c r="F18" s="13">
        <f>IF('DASHVOLT REVENUE SCHEDULE'!D19= "Aminu Ibrahim", 'DASHVOLT REVENUE SCHEDULE'!G19, 0)</f>
        <v>0</v>
      </c>
      <c r="G18" s="13">
        <f>IF('DASHVOLT REVENUE SCHEDULE'!D19= "Bello Saulawa",'DASHVOLT REVENUE SCHEDULE'!G19, 0)</f>
        <v>0</v>
      </c>
      <c r="H18" s="13">
        <f>IF('DASHVOLT REVENUE SCHEDULE'!D19= "Murtala Hassan", 'DASHVOLT REVENUE SCHEDULE'!G19, 0)</f>
        <v>0</v>
      </c>
      <c r="I18" s="13">
        <f>IF('DASHVOLT REVENUE SCHEDULE'!D19= "Babangida Monde", 'DASHVOLT REVENUE SCHEDULE'!G19, 0)</f>
        <v>0</v>
      </c>
      <c r="J18" s="13">
        <f>IF('DASHVOLT REVENUE SCHEDULE'!D19= "Bello Abdullahi", 'DASHVOLT REVENUE SCHEDULE'!G19, 0)</f>
        <v>2500</v>
      </c>
    </row>
    <row r="19" spans="2:10" x14ac:dyDescent="0.25">
      <c r="B19" s="11">
        <f>'DASHVOLT REVENUE SCHEDULE'!B20</f>
        <v>45900</v>
      </c>
      <c r="C19" s="13">
        <f>'DASHVOLT REVENUE SCHEDULE'!C20</f>
        <v>0</v>
      </c>
      <c r="D19" s="13" t="str">
        <f>'DASHVOLT REVENUE SCHEDULE'!E20</f>
        <v>COMPLETED</v>
      </c>
      <c r="E19" s="13" t="str">
        <f>'DASHVOLT REVENUE SCHEDULE'!F20</f>
        <v>Wuse2</v>
      </c>
      <c r="F19" s="13">
        <f>IF('DASHVOLT REVENUE SCHEDULE'!D20= "Aminu Ibrahim", 'DASHVOLT REVENUE SCHEDULE'!G20, 0)</f>
        <v>0</v>
      </c>
      <c r="G19" s="13">
        <f>IF('DASHVOLT REVENUE SCHEDULE'!D20= "Bello Saulawa",'DASHVOLT REVENUE SCHEDULE'!G20, 0)</f>
        <v>0</v>
      </c>
      <c r="H19" s="13">
        <f>IF('DASHVOLT REVENUE SCHEDULE'!D20= "Murtala Hassan", 'DASHVOLT REVENUE SCHEDULE'!G20, 0)</f>
        <v>0</v>
      </c>
      <c r="I19" s="13">
        <f>IF('DASHVOLT REVENUE SCHEDULE'!D20= "Babangida Monde", 'DASHVOLT REVENUE SCHEDULE'!G20, 0)</f>
        <v>0</v>
      </c>
      <c r="J19" s="13">
        <f>IF('DASHVOLT REVENUE SCHEDULE'!D20= "Bello Abdullahi", 'DASHVOLT REVENUE SCHEDULE'!G20, 0)</f>
        <v>2500</v>
      </c>
    </row>
    <row r="20" spans="2:10" x14ac:dyDescent="0.25">
      <c r="B20" s="11">
        <f>'DASHVOLT REVENUE SCHEDULE'!B21</f>
        <v>45901</v>
      </c>
      <c r="C20" s="13">
        <f>'DASHVOLT REVENUE SCHEDULE'!C21</f>
        <v>0</v>
      </c>
      <c r="D20" s="13" t="str">
        <f>'DASHVOLT REVENUE SCHEDULE'!E21</f>
        <v>COMPLETED</v>
      </c>
      <c r="E20" s="13" t="str">
        <f>'DASHVOLT REVENUE SCHEDULE'!F21</f>
        <v>Guzape</v>
      </c>
      <c r="F20" s="13">
        <f>IF('DASHVOLT REVENUE SCHEDULE'!D21= "Aminu Ibrahim", 'DASHVOLT REVENUE SCHEDULE'!G21, 0)</f>
        <v>0</v>
      </c>
      <c r="G20" s="13">
        <f>IF('DASHVOLT REVENUE SCHEDULE'!D21= "Bello Saulawa",'DASHVOLT REVENUE SCHEDULE'!G21, 0)</f>
        <v>3200</v>
      </c>
      <c r="H20" s="13">
        <f>IF('DASHVOLT REVENUE SCHEDULE'!D21= "Murtala Hassan", 'DASHVOLT REVENUE SCHEDULE'!G21, 0)</f>
        <v>0</v>
      </c>
      <c r="I20" s="13">
        <f>IF('DASHVOLT REVENUE SCHEDULE'!D21= "Babangida Monde", 'DASHVOLT REVENUE SCHEDULE'!G21, 0)</f>
        <v>0</v>
      </c>
      <c r="J20" s="13">
        <f>IF('DASHVOLT REVENUE SCHEDULE'!D21= "Bello Abdullahi", 'DASHVOLT REVENUE SCHEDULE'!G21, 0)</f>
        <v>0</v>
      </c>
    </row>
    <row r="21" spans="2:10" x14ac:dyDescent="0.25">
      <c r="B21" s="11">
        <f>'DASHVOLT REVENUE SCHEDULE'!B22</f>
        <v>45901</v>
      </c>
      <c r="C21" s="13">
        <f>'DASHVOLT REVENUE SCHEDULE'!C22</f>
        <v>0</v>
      </c>
      <c r="D21" s="13" t="str">
        <f>'DASHVOLT REVENUE SCHEDULE'!E22</f>
        <v>COMPLETED</v>
      </c>
      <c r="E21" s="13" t="str">
        <f>'DASHVOLT REVENUE SCHEDULE'!F22</f>
        <v>Jabi</v>
      </c>
      <c r="F21" s="13">
        <f>IF('DASHVOLT REVENUE SCHEDULE'!D22= "Aminu Ibrahim", 'DASHVOLT REVENUE SCHEDULE'!G22, 0)</f>
        <v>0</v>
      </c>
      <c r="G21" s="13">
        <f>IF('DASHVOLT REVENUE SCHEDULE'!D22= "Bello Saulawa",'DASHVOLT REVENUE SCHEDULE'!G22, 0)</f>
        <v>2500</v>
      </c>
      <c r="H21" s="13">
        <f>IF('DASHVOLT REVENUE SCHEDULE'!D22= "Murtala Hassan", 'DASHVOLT REVENUE SCHEDULE'!G22, 0)</f>
        <v>0</v>
      </c>
      <c r="I21" s="13">
        <f>IF('DASHVOLT REVENUE SCHEDULE'!D22= "Babangida Monde", 'DASHVOLT REVENUE SCHEDULE'!G22, 0)</f>
        <v>0</v>
      </c>
      <c r="J21" s="13">
        <f>IF('DASHVOLT REVENUE SCHEDULE'!D22= "Bello Abdullahi", 'DASHVOLT REVENUE SCHEDULE'!G22, 0)</f>
        <v>0</v>
      </c>
    </row>
    <row r="22" spans="2:10" x14ac:dyDescent="0.25">
      <c r="B22" s="11">
        <f>'DASHVOLT REVENUE SCHEDULE'!B23</f>
        <v>45901</v>
      </c>
      <c r="C22" s="13">
        <f>'DASHVOLT REVENUE SCHEDULE'!C23</f>
        <v>0</v>
      </c>
      <c r="D22" s="13" t="str">
        <f>'DASHVOLT REVENUE SCHEDULE'!E23</f>
        <v>COMPLETED</v>
      </c>
      <c r="E22" s="13" t="str">
        <f>'DASHVOLT REVENUE SCHEDULE'!F23</f>
        <v>CBD</v>
      </c>
      <c r="F22" s="13">
        <f>IF('DASHVOLT REVENUE SCHEDULE'!D23= "Aminu Ibrahim", 'DASHVOLT REVENUE SCHEDULE'!G23, 0)</f>
        <v>0</v>
      </c>
      <c r="G22" s="13">
        <f>IF('DASHVOLT REVENUE SCHEDULE'!D23= "Bello Saulawa",'DASHVOLT REVENUE SCHEDULE'!G23, 0)</f>
        <v>2700</v>
      </c>
      <c r="H22" s="13">
        <f>IF('DASHVOLT REVENUE SCHEDULE'!D23= "Murtala Hassan", 'DASHVOLT REVENUE SCHEDULE'!G23, 0)</f>
        <v>0</v>
      </c>
      <c r="I22" s="13">
        <f>IF('DASHVOLT REVENUE SCHEDULE'!D23= "Babangida Monde", 'DASHVOLT REVENUE SCHEDULE'!G23, 0)</f>
        <v>0</v>
      </c>
      <c r="J22" s="13">
        <f>IF('DASHVOLT REVENUE SCHEDULE'!D23= "Bello Abdullahi", 'DASHVOLT REVENUE SCHEDULE'!G23, 0)</f>
        <v>0</v>
      </c>
    </row>
    <row r="23" spans="2:10" x14ac:dyDescent="0.25">
      <c r="B23" s="11">
        <f>'DASHVOLT REVENUE SCHEDULE'!B24</f>
        <v>45901</v>
      </c>
      <c r="C23" s="13">
        <f>'DASHVOLT REVENUE SCHEDULE'!C24</f>
        <v>0</v>
      </c>
      <c r="D23" s="13" t="str">
        <f>'DASHVOLT REVENUE SCHEDULE'!E24</f>
        <v>COMPLETED</v>
      </c>
      <c r="E23" s="13" t="str">
        <f>'DASHVOLT REVENUE SCHEDULE'!F24</f>
        <v>Garki</v>
      </c>
      <c r="F23" s="13">
        <f>IF('DASHVOLT REVENUE SCHEDULE'!D24= "Aminu Ibrahim", 'DASHVOLT REVENUE SCHEDULE'!G24, 0)</f>
        <v>0</v>
      </c>
      <c r="G23" s="13">
        <f>IF('DASHVOLT REVENUE SCHEDULE'!D24= "Bello Saulawa",'DASHVOLT REVENUE SCHEDULE'!G24, 0)</f>
        <v>3000</v>
      </c>
      <c r="H23" s="13">
        <f>IF('DASHVOLT REVENUE SCHEDULE'!D24= "Murtala Hassan", 'DASHVOLT REVENUE SCHEDULE'!G24, 0)</f>
        <v>0</v>
      </c>
      <c r="I23" s="13">
        <f>IF('DASHVOLT REVENUE SCHEDULE'!D24= "Babangida Monde", 'DASHVOLT REVENUE SCHEDULE'!G24, 0)</f>
        <v>0</v>
      </c>
      <c r="J23" s="13">
        <f>IF('DASHVOLT REVENUE SCHEDULE'!D24= "Bello Abdullahi", 'DASHVOLT REVENUE SCHEDULE'!G24, 0)</f>
        <v>0</v>
      </c>
    </row>
    <row r="24" spans="2:10" x14ac:dyDescent="0.25">
      <c r="B24" s="11">
        <f>'DASHVOLT REVENUE SCHEDULE'!B25</f>
        <v>45901</v>
      </c>
      <c r="C24" s="13">
        <f>'DASHVOLT REVENUE SCHEDULE'!C25</f>
        <v>0</v>
      </c>
      <c r="D24" s="13" t="str">
        <f>'DASHVOLT REVENUE SCHEDULE'!E25</f>
        <v>COMPLETED</v>
      </c>
      <c r="E24" s="13" t="str">
        <f>'DASHVOLT REVENUE SCHEDULE'!F25</f>
        <v>Jabi</v>
      </c>
      <c r="F24" s="13">
        <f>IF('DASHVOLT REVENUE SCHEDULE'!D25= "Aminu Ibrahim", 'DASHVOLT REVENUE SCHEDULE'!G25, 0)</f>
        <v>0</v>
      </c>
      <c r="G24" s="13">
        <f>IF('DASHVOLT REVENUE SCHEDULE'!D25= "Bello Saulawa",'DASHVOLT REVENUE SCHEDULE'!G25, 0)</f>
        <v>2500</v>
      </c>
      <c r="H24" s="13">
        <f>IF('DASHVOLT REVENUE SCHEDULE'!D25= "Murtala Hassan", 'DASHVOLT REVENUE SCHEDULE'!G25, 0)</f>
        <v>0</v>
      </c>
      <c r="I24" s="13">
        <f>IF('DASHVOLT REVENUE SCHEDULE'!D25= "Babangida Monde", 'DASHVOLT REVENUE SCHEDULE'!G25, 0)</f>
        <v>0</v>
      </c>
      <c r="J24" s="13">
        <f>IF('DASHVOLT REVENUE SCHEDULE'!D25= "Bello Abdullahi", 'DASHVOLT REVENUE SCHEDULE'!G25, 0)</f>
        <v>0</v>
      </c>
    </row>
    <row r="25" spans="2:10" x14ac:dyDescent="0.25">
      <c r="B25" s="11">
        <f>'DASHVOLT REVENUE SCHEDULE'!B26</f>
        <v>45901</v>
      </c>
      <c r="C25" s="13">
        <f>'DASHVOLT REVENUE SCHEDULE'!C26</f>
        <v>0</v>
      </c>
      <c r="D25" s="13" t="str">
        <f>'DASHVOLT REVENUE SCHEDULE'!E26</f>
        <v>COMPLETED</v>
      </c>
      <c r="E25" s="13" t="str">
        <f>'DASHVOLT REVENUE SCHEDULE'!F26</f>
        <v>Katampe</v>
      </c>
      <c r="F25" s="13">
        <f>IF('DASHVOLT REVENUE SCHEDULE'!D26= "Aminu Ibrahim", 'DASHVOLT REVENUE SCHEDULE'!G26, 0)</f>
        <v>0</v>
      </c>
      <c r="G25" s="13">
        <f>IF('DASHVOLT REVENUE SCHEDULE'!D26= "Bello Saulawa",'DASHVOLT REVENUE SCHEDULE'!G26, 0)</f>
        <v>2500</v>
      </c>
      <c r="H25" s="13">
        <f>IF('DASHVOLT REVENUE SCHEDULE'!D26= "Murtala Hassan", 'DASHVOLT REVENUE SCHEDULE'!G26, 0)</f>
        <v>0</v>
      </c>
      <c r="I25" s="13">
        <f>IF('DASHVOLT REVENUE SCHEDULE'!D26= "Babangida Monde", 'DASHVOLT REVENUE SCHEDULE'!G26, 0)</f>
        <v>0</v>
      </c>
      <c r="J25" s="13">
        <f>IF('DASHVOLT REVENUE SCHEDULE'!D26= "Bello Abdullahi", 'DASHVOLT REVENUE SCHEDULE'!G26, 0)</f>
        <v>0</v>
      </c>
    </row>
    <row r="26" spans="2:10" x14ac:dyDescent="0.25">
      <c r="B26" s="11">
        <f>'DASHVOLT REVENUE SCHEDULE'!B27</f>
        <v>45901</v>
      </c>
      <c r="C26" s="13">
        <f>'DASHVOLT REVENUE SCHEDULE'!C27</f>
        <v>0</v>
      </c>
      <c r="D26" s="13" t="str">
        <f>'DASHVOLT REVENUE SCHEDULE'!E27</f>
        <v>COMPLETED</v>
      </c>
      <c r="E26" s="13" t="str">
        <f>'DASHVOLT REVENUE SCHEDULE'!F27</f>
        <v>Wuse2</v>
      </c>
      <c r="F26" s="13">
        <f>IF('DASHVOLT REVENUE SCHEDULE'!D27= "Aminu Ibrahim", 'DASHVOLT REVENUE SCHEDULE'!G27, 0)</f>
        <v>0</v>
      </c>
      <c r="G26" s="13">
        <f>IF('DASHVOLT REVENUE SCHEDULE'!D27= "Bello Saulawa",'DASHVOLT REVENUE SCHEDULE'!G27, 0)</f>
        <v>0</v>
      </c>
      <c r="H26" s="13">
        <f>IF('DASHVOLT REVENUE SCHEDULE'!D27= "Murtala Hassan", 'DASHVOLT REVENUE SCHEDULE'!G27, 0)</f>
        <v>2500</v>
      </c>
      <c r="I26" s="13">
        <f>IF('DASHVOLT REVENUE SCHEDULE'!D27= "Babangida Monde", 'DASHVOLT REVENUE SCHEDULE'!G27, 0)</f>
        <v>0</v>
      </c>
      <c r="J26" s="13">
        <f>IF('DASHVOLT REVENUE SCHEDULE'!D27= "Bello Abdullahi", 'DASHVOLT REVENUE SCHEDULE'!G27, 0)</f>
        <v>0</v>
      </c>
    </row>
    <row r="27" spans="2:10" x14ac:dyDescent="0.25">
      <c r="B27" s="11">
        <f>'DASHVOLT REVENUE SCHEDULE'!B28</f>
        <v>45901</v>
      </c>
      <c r="C27" s="13">
        <f>'DASHVOLT REVENUE SCHEDULE'!C28</f>
        <v>0</v>
      </c>
      <c r="D27" s="13" t="str">
        <f>'DASHVOLT REVENUE SCHEDULE'!E28</f>
        <v>COMPLETED</v>
      </c>
      <c r="E27" s="13" t="str">
        <f>'DASHVOLT REVENUE SCHEDULE'!F28</f>
        <v>Wuse2</v>
      </c>
      <c r="F27" s="13">
        <f>IF('DASHVOLT REVENUE SCHEDULE'!D28= "Aminu Ibrahim", 'DASHVOLT REVENUE SCHEDULE'!G28, 0)</f>
        <v>0</v>
      </c>
      <c r="G27" s="13">
        <f>IF('DASHVOLT REVENUE SCHEDULE'!D28= "Bello Saulawa",'DASHVOLT REVENUE SCHEDULE'!G28, 0)</f>
        <v>0</v>
      </c>
      <c r="H27" s="13">
        <f>IF('DASHVOLT REVENUE SCHEDULE'!D28= "Murtala Hassan", 'DASHVOLT REVENUE SCHEDULE'!G28, 0)</f>
        <v>2500</v>
      </c>
      <c r="I27" s="13">
        <f>IF('DASHVOLT REVENUE SCHEDULE'!D28= "Babangida Monde", 'DASHVOLT REVENUE SCHEDULE'!G28, 0)</f>
        <v>0</v>
      </c>
      <c r="J27" s="13">
        <f>IF('DASHVOLT REVENUE SCHEDULE'!D28= "Bello Abdullahi", 'DASHVOLT REVENUE SCHEDULE'!G28, 0)</f>
        <v>0</v>
      </c>
    </row>
    <row r="28" spans="2:10" x14ac:dyDescent="0.25">
      <c r="B28" s="11">
        <f>'DASHVOLT REVENUE SCHEDULE'!B29</f>
        <v>45901</v>
      </c>
      <c r="C28" s="13">
        <f>'DASHVOLT REVENUE SCHEDULE'!C29</f>
        <v>0</v>
      </c>
      <c r="D28" s="13" t="str">
        <f>'DASHVOLT REVENUE SCHEDULE'!E29</f>
        <v>COMPLETED</v>
      </c>
      <c r="E28" s="13" t="str">
        <f>'DASHVOLT REVENUE SCHEDULE'!F29</f>
        <v>Aso drive</v>
      </c>
      <c r="F28" s="13">
        <f>IF('DASHVOLT REVENUE SCHEDULE'!D29= "Aminu Ibrahim", 'DASHVOLT REVENUE SCHEDULE'!G29, 0)</f>
        <v>0</v>
      </c>
      <c r="G28" s="13">
        <f>IF('DASHVOLT REVENUE SCHEDULE'!D29= "Bello Saulawa",'DASHVOLT REVENUE SCHEDULE'!G29, 0)</f>
        <v>0</v>
      </c>
      <c r="H28" s="13">
        <f>IF('DASHVOLT REVENUE SCHEDULE'!D29= "Murtala Hassan", 'DASHVOLT REVENUE SCHEDULE'!G29, 0)</f>
        <v>2700</v>
      </c>
      <c r="I28" s="13">
        <f>IF('DASHVOLT REVENUE SCHEDULE'!D29= "Babangida Monde", 'DASHVOLT REVENUE SCHEDULE'!G29, 0)</f>
        <v>0</v>
      </c>
      <c r="J28" s="13">
        <f>IF('DASHVOLT REVENUE SCHEDULE'!D29= "Bello Abdullahi", 'DASHVOLT REVENUE SCHEDULE'!G29, 0)</f>
        <v>0</v>
      </c>
    </row>
    <row r="29" spans="2:10" x14ac:dyDescent="0.25">
      <c r="B29" s="11">
        <f>'DASHVOLT REVENUE SCHEDULE'!B30</f>
        <v>45901</v>
      </c>
      <c r="C29" s="13">
        <f>'DASHVOLT REVENUE SCHEDULE'!C30</f>
        <v>0</v>
      </c>
      <c r="D29" s="13" t="str">
        <f>'DASHVOLT REVENUE SCHEDULE'!E30</f>
        <v>COMPLETED</v>
      </c>
      <c r="E29" s="13" t="str">
        <f>'DASHVOLT REVENUE SCHEDULE'!F30</f>
        <v>Gwarimpa</v>
      </c>
      <c r="F29" s="13">
        <f>IF('DASHVOLT REVENUE SCHEDULE'!D30= "Aminu Ibrahim", 'DASHVOLT REVENUE SCHEDULE'!G30, 0)</f>
        <v>0</v>
      </c>
      <c r="G29" s="13">
        <f>IF('DASHVOLT REVENUE SCHEDULE'!D30= "Bello Saulawa",'DASHVOLT REVENUE SCHEDULE'!G30, 0)</f>
        <v>0</v>
      </c>
      <c r="H29" s="13">
        <f>IF('DASHVOLT REVENUE SCHEDULE'!D30= "Murtala Hassan", 'DASHVOLT REVENUE SCHEDULE'!G30, 0)</f>
        <v>0</v>
      </c>
      <c r="I29" s="13">
        <f>IF('DASHVOLT REVENUE SCHEDULE'!D30= "Babangida Monde", 'DASHVOLT REVENUE SCHEDULE'!G30, 0)</f>
        <v>0</v>
      </c>
      <c r="J29" s="13">
        <f>IF('DASHVOLT REVENUE SCHEDULE'!D30= "Bello Abdullahi", 'DASHVOLT REVENUE SCHEDULE'!G30, 0)</f>
        <v>2700</v>
      </c>
    </row>
    <row r="30" spans="2:10" x14ac:dyDescent="0.25">
      <c r="B30" s="11">
        <f>'DASHVOLT REVENUE SCHEDULE'!B31</f>
        <v>45901</v>
      </c>
      <c r="C30" s="13">
        <f>'DASHVOLT REVENUE SCHEDULE'!C31</f>
        <v>0</v>
      </c>
      <c r="D30" s="13" t="str">
        <f>'DASHVOLT REVENUE SCHEDULE'!E31</f>
        <v>COMPLETED</v>
      </c>
      <c r="E30" s="13" t="str">
        <f>'DASHVOLT REVENUE SCHEDULE'!F31</f>
        <v>Life camp</v>
      </c>
      <c r="F30" s="13">
        <f>IF('DASHVOLT REVENUE SCHEDULE'!D31= "Aminu Ibrahim", 'DASHVOLT REVENUE SCHEDULE'!G31, 0)</f>
        <v>0</v>
      </c>
      <c r="G30" s="13">
        <f>IF('DASHVOLT REVENUE SCHEDULE'!D31= "Bello Saulawa",'DASHVOLT REVENUE SCHEDULE'!G31, 0)</f>
        <v>0</v>
      </c>
      <c r="H30" s="13">
        <f>IF('DASHVOLT REVENUE SCHEDULE'!D31= "Murtala Hassan", 'DASHVOLT REVENUE SCHEDULE'!G31, 0)</f>
        <v>0</v>
      </c>
      <c r="I30" s="13">
        <f>IF('DASHVOLT REVENUE SCHEDULE'!D31= "Babangida Monde", 'DASHVOLT REVENUE SCHEDULE'!G31, 0)</f>
        <v>0</v>
      </c>
      <c r="J30" s="13">
        <f>IF('DASHVOLT REVENUE SCHEDULE'!D31= "Bello Abdullahi", 'DASHVOLT REVENUE SCHEDULE'!G31, 0)</f>
        <v>2200</v>
      </c>
    </row>
    <row r="31" spans="2:10" x14ac:dyDescent="0.25">
      <c r="B31" s="11">
        <f>'DASHVOLT REVENUE SCHEDULE'!B30</f>
        <v>45901</v>
      </c>
      <c r="C31" s="13">
        <f>'DASHVOLT REVENUE SCHEDULE'!C30</f>
        <v>0</v>
      </c>
      <c r="D31" s="13" t="str">
        <f>'DASHVOLT REVENUE SCHEDULE'!E30</f>
        <v>COMPLETED</v>
      </c>
      <c r="E31" s="13" t="str">
        <f>'DASHVOLT REVENUE SCHEDULE'!F30</f>
        <v>Gwarimpa</v>
      </c>
      <c r="F31" s="13">
        <f>IF('DASHVOLT REVENUE SCHEDULE'!D30= "Aminu Ibrahim", 'DASHVOLT REVENUE SCHEDULE'!G30, 0)</f>
        <v>0</v>
      </c>
      <c r="G31" s="13">
        <f>IF('DASHVOLT REVENUE SCHEDULE'!D30= "Bello Saulawa",'DASHVOLT REVENUE SCHEDULE'!G30, 0)</f>
        <v>0</v>
      </c>
      <c r="H31" s="13">
        <f>IF('DASHVOLT REVENUE SCHEDULE'!D30= "Murtala Hassan", 'DASHVOLT REVENUE SCHEDULE'!G30, 0)</f>
        <v>0</v>
      </c>
      <c r="I31" s="13">
        <f>IF('DASHVOLT REVENUE SCHEDULE'!D30= "Babangida Monde", 'DASHVOLT REVENUE SCHEDULE'!G30, 0)</f>
        <v>0</v>
      </c>
      <c r="J31" s="13">
        <f>IF('DASHVOLT REVENUE SCHEDULE'!D30= "Bello Abdullahi", 'DASHVOLT REVENUE SCHEDULE'!G30, 0)</f>
        <v>2700</v>
      </c>
    </row>
    <row r="32" spans="2:10" x14ac:dyDescent="0.25">
      <c r="B32" s="11">
        <f>'DASHVOLT REVENUE SCHEDULE'!B31</f>
        <v>45901</v>
      </c>
      <c r="C32" s="13">
        <f>'DASHVOLT REVENUE SCHEDULE'!C31</f>
        <v>0</v>
      </c>
      <c r="D32" s="13" t="str">
        <f>'DASHVOLT REVENUE SCHEDULE'!E31</f>
        <v>COMPLETED</v>
      </c>
      <c r="E32" s="13" t="str">
        <f>'DASHVOLT REVENUE SCHEDULE'!F31</f>
        <v>Life camp</v>
      </c>
      <c r="F32" s="13">
        <f>IF('DASHVOLT REVENUE SCHEDULE'!D31= "Aminu Ibrahim", 'DASHVOLT REVENUE SCHEDULE'!G31, 0)</f>
        <v>0</v>
      </c>
      <c r="G32" s="13">
        <f>IF('DASHVOLT REVENUE SCHEDULE'!D31= "Bello Saulawa",'DASHVOLT REVENUE SCHEDULE'!G31, 0)</f>
        <v>0</v>
      </c>
      <c r="H32" s="13">
        <f>IF('DASHVOLT REVENUE SCHEDULE'!D31= "Murtala Hassan", 'DASHVOLT REVENUE SCHEDULE'!G31, 0)</f>
        <v>0</v>
      </c>
      <c r="I32" s="13">
        <f>IF('DASHVOLT REVENUE SCHEDULE'!D31= "Babangida Monde", 'DASHVOLT REVENUE SCHEDULE'!G31, 0)</f>
        <v>0</v>
      </c>
      <c r="J32" s="13">
        <f>IF('DASHVOLT REVENUE SCHEDULE'!D31= "Bello Abdullahi", 'DASHVOLT REVENUE SCHEDULE'!G31, 0)</f>
        <v>2200</v>
      </c>
    </row>
    <row r="33" spans="2:10" x14ac:dyDescent="0.25">
      <c r="B33" s="11">
        <f>'DASHVOLT REVENUE SCHEDULE'!B32</f>
        <v>45901</v>
      </c>
      <c r="C33" s="13">
        <f>'DASHVOLT REVENUE SCHEDULE'!C32</f>
        <v>0</v>
      </c>
      <c r="D33" s="13" t="str">
        <f>'DASHVOLT REVENUE SCHEDULE'!E32</f>
        <v>COMPLETED</v>
      </c>
      <c r="E33" s="13" t="str">
        <f>'DASHVOLT REVENUE SCHEDULE'!F32</f>
        <v>mabushi</v>
      </c>
      <c r="F33" s="13">
        <f>IF('DASHVOLT REVENUE SCHEDULE'!D32= "Aminu Ibrahim", 'DASHVOLT REVENUE SCHEDULE'!G32, 0)</f>
        <v>0</v>
      </c>
      <c r="G33" s="13">
        <f>IF('DASHVOLT REVENUE SCHEDULE'!D32= "Bello Saulawa",'DASHVOLT REVENUE SCHEDULE'!G32, 0)</f>
        <v>0</v>
      </c>
      <c r="H33" s="13">
        <f>IF('DASHVOLT REVENUE SCHEDULE'!D32= "Murtala Hassan", 'DASHVOLT REVENUE SCHEDULE'!G32, 0)</f>
        <v>0</v>
      </c>
      <c r="I33" s="13">
        <f>IF('DASHVOLT REVENUE SCHEDULE'!D32= "Babangida Monde", 'DASHVOLT REVENUE SCHEDULE'!G32, 0)</f>
        <v>0</v>
      </c>
      <c r="J33" s="13">
        <f>IF('DASHVOLT REVENUE SCHEDULE'!D32= "Bello Abdullahi", 'DASHVOLT REVENUE SCHEDULE'!G32, 0)</f>
        <v>2200</v>
      </c>
    </row>
    <row r="34" spans="2:10" x14ac:dyDescent="0.25">
      <c r="B34" s="11">
        <f>'DASHVOLT REVENUE SCHEDULE'!B33</f>
        <v>45901</v>
      </c>
      <c r="C34" s="13">
        <f>'DASHVOLT REVENUE SCHEDULE'!C33</f>
        <v>0</v>
      </c>
      <c r="D34" s="13" t="str">
        <f>'DASHVOLT REVENUE SCHEDULE'!E33</f>
        <v>COMPLETED</v>
      </c>
      <c r="E34" s="13" t="str">
        <f>'DASHVOLT REVENUE SCHEDULE'!F33</f>
        <v>Jahi</v>
      </c>
      <c r="F34" s="13">
        <f>IF('DASHVOLT REVENUE SCHEDULE'!D33= "Aminu Ibrahim", 'DASHVOLT REVENUE SCHEDULE'!G33, 0)</f>
        <v>0</v>
      </c>
      <c r="G34" s="13">
        <f>IF('DASHVOLT REVENUE SCHEDULE'!D33= "Bello Saulawa",'DASHVOLT REVENUE SCHEDULE'!G33, 0)</f>
        <v>0</v>
      </c>
      <c r="H34" s="13">
        <f>IF('DASHVOLT REVENUE SCHEDULE'!D33= "Murtala Hassan", 'DASHVOLT REVENUE SCHEDULE'!G33, 0)</f>
        <v>0</v>
      </c>
      <c r="I34" s="13">
        <f>IF('DASHVOLT REVENUE SCHEDULE'!D33= "Babangida Monde", 'DASHVOLT REVENUE SCHEDULE'!G33, 0)</f>
        <v>0</v>
      </c>
      <c r="J34" s="13">
        <f>IF('DASHVOLT REVENUE SCHEDULE'!D33= "Bello Abdullahi", 'DASHVOLT REVENUE SCHEDULE'!G33, 0)</f>
        <v>2200</v>
      </c>
    </row>
    <row r="35" spans="2:10" x14ac:dyDescent="0.25">
      <c r="B35" s="11">
        <f>'DASHVOLT REVENUE SCHEDULE'!B34</f>
        <v>45901</v>
      </c>
      <c r="C35" s="13">
        <f>'DASHVOLT REVENUE SCHEDULE'!C34</f>
        <v>0</v>
      </c>
      <c r="D35" s="13" t="str">
        <f>'DASHVOLT REVENUE SCHEDULE'!E34</f>
        <v>COMPLETED</v>
      </c>
      <c r="E35" s="13" t="str">
        <f>'DASHVOLT REVENUE SCHEDULE'!F34</f>
        <v>Wuye</v>
      </c>
      <c r="F35" s="13">
        <f>IF('DASHVOLT REVENUE SCHEDULE'!D34= "Aminu Ibrahim", 'DASHVOLT REVENUE SCHEDULE'!G34, 0)</f>
        <v>0</v>
      </c>
      <c r="G35" s="13">
        <f>IF('DASHVOLT REVENUE SCHEDULE'!D34= "Bello Saulawa",'DASHVOLT REVENUE SCHEDULE'!G34, 0)</f>
        <v>2200</v>
      </c>
      <c r="H35" s="13">
        <f>IF('DASHVOLT REVENUE SCHEDULE'!D34= "Murtala Hassan", 'DASHVOLT REVENUE SCHEDULE'!G34, 0)</f>
        <v>0</v>
      </c>
      <c r="I35" s="13">
        <f>IF('DASHVOLT REVENUE SCHEDULE'!D34= "Babangida Monde", 'DASHVOLT REVENUE SCHEDULE'!G34, 0)</f>
        <v>0</v>
      </c>
      <c r="J35" s="13">
        <f>IF('DASHVOLT REVENUE SCHEDULE'!D34= "Bello Abdullahi", 'DASHVOLT REVENUE SCHEDULE'!G34, 0)</f>
        <v>0</v>
      </c>
    </row>
    <row r="36" spans="2:10" x14ac:dyDescent="0.25">
      <c r="B36" s="11">
        <f>'DASHVOLT REVENUE SCHEDULE'!B37</f>
        <v>45902</v>
      </c>
      <c r="C36" s="13">
        <f>'DASHVOLT REVENUE SCHEDULE'!C37</f>
        <v>0</v>
      </c>
      <c r="D36" s="13" t="str">
        <f>'DASHVOLT REVENUE SCHEDULE'!E37</f>
        <v>COMPLETED</v>
      </c>
      <c r="E36" s="13" t="str">
        <f>'DASHVOLT REVENUE SCHEDULE'!F37</f>
        <v>Asokoro</v>
      </c>
      <c r="F36" s="13">
        <f>IF('DASHVOLT REVENUE SCHEDULE'!D37= "Aminu Ibrahim", 'DASHVOLT REVENUE SCHEDULE'!G37, 0)</f>
        <v>0</v>
      </c>
      <c r="G36" s="13">
        <f>IF('DASHVOLT REVENUE SCHEDULE'!D37= "Bello Saulawa",'DASHVOLT REVENUE SCHEDULE'!G37, 0)</f>
        <v>3200</v>
      </c>
      <c r="H36" s="13">
        <f>IF('DASHVOLT REVENUE SCHEDULE'!D37= "Murtala Hassan", 'DASHVOLT REVENUE SCHEDULE'!G37, 0)</f>
        <v>0</v>
      </c>
      <c r="I36" s="13">
        <f>IF('DASHVOLT REVENUE SCHEDULE'!D37= "Babangida Monde", 'DASHVOLT REVENUE SCHEDULE'!G37, 0)</f>
        <v>0</v>
      </c>
      <c r="J36" s="13">
        <f>IF('DASHVOLT REVENUE SCHEDULE'!D37= "Bello Abdullahi", 'DASHVOLT REVENUE SCHEDULE'!G37, 0)</f>
        <v>0</v>
      </c>
    </row>
    <row r="37" spans="2:10" x14ac:dyDescent="0.25">
      <c r="B37" s="11">
        <f>'DASHVOLT REVENUE SCHEDULE'!B38</f>
        <v>45902</v>
      </c>
      <c r="C37" s="13">
        <f>'DASHVOLT REVENUE SCHEDULE'!C38</f>
        <v>0</v>
      </c>
      <c r="D37" s="13" t="str">
        <f>'DASHVOLT REVENUE SCHEDULE'!E38</f>
        <v>COMPLETED</v>
      </c>
      <c r="E37" s="13" t="str">
        <f>'DASHVOLT REVENUE SCHEDULE'!F38</f>
        <v>Life camp</v>
      </c>
      <c r="F37" s="13">
        <f>IF('DASHVOLT REVENUE SCHEDULE'!D38= "Aminu Ibrahim", 'DASHVOLT REVENUE SCHEDULE'!G38, 0)</f>
        <v>0</v>
      </c>
      <c r="G37" s="13">
        <f>IF('DASHVOLT REVENUE SCHEDULE'!D38= "Bello Saulawa",'DASHVOLT REVENUE SCHEDULE'!G38, 0)</f>
        <v>0</v>
      </c>
      <c r="H37" s="13">
        <f>IF('DASHVOLT REVENUE SCHEDULE'!D38= "Murtala Hassan", 'DASHVOLT REVENUE SCHEDULE'!G38, 0)</f>
        <v>0</v>
      </c>
      <c r="I37" s="13">
        <f>IF('DASHVOLT REVENUE SCHEDULE'!D38= "Babangida Monde", 'DASHVOLT REVENUE SCHEDULE'!G38, 0)</f>
        <v>0</v>
      </c>
      <c r="J37" s="13">
        <f>IF('DASHVOLT REVENUE SCHEDULE'!D38= "Bello Abdullahi", 'DASHVOLT REVENUE SCHEDULE'!G38, 0)</f>
        <v>2200</v>
      </c>
    </row>
    <row r="38" spans="2:10" x14ac:dyDescent="0.25">
      <c r="B38" s="11">
        <f>'DASHVOLT REVENUE SCHEDULE'!B39</f>
        <v>45902</v>
      </c>
      <c r="C38" s="13">
        <f>'DASHVOLT REVENUE SCHEDULE'!C39</f>
        <v>0</v>
      </c>
      <c r="D38" s="13" t="str">
        <f>'DASHVOLT REVENUE SCHEDULE'!E39</f>
        <v>COMPLETED</v>
      </c>
      <c r="E38" s="13" t="str">
        <f>'DASHVOLT REVENUE SCHEDULE'!F39</f>
        <v>Jahi</v>
      </c>
      <c r="F38" s="13">
        <f>IF('DASHVOLT REVENUE SCHEDULE'!D39= "Aminu Ibrahim", 'DASHVOLT REVENUE SCHEDULE'!G39, 0)</f>
        <v>0</v>
      </c>
      <c r="G38" s="13">
        <f>IF('DASHVOLT REVENUE SCHEDULE'!D39= "Bello Saulawa",'DASHVOLT REVENUE SCHEDULE'!G39, 0)</f>
        <v>0</v>
      </c>
      <c r="H38" s="13">
        <f>IF('DASHVOLT REVENUE SCHEDULE'!D39= "Murtala Hassan", 'DASHVOLT REVENUE SCHEDULE'!G39, 0)</f>
        <v>2200</v>
      </c>
      <c r="I38" s="13">
        <f>IF('DASHVOLT REVENUE SCHEDULE'!D39= "Babangida Monde", 'DASHVOLT REVENUE SCHEDULE'!G39, 0)</f>
        <v>0</v>
      </c>
      <c r="J38" s="13">
        <f>IF('DASHVOLT REVENUE SCHEDULE'!D39= "Bello Abdullahi", 'DASHVOLT REVENUE SCHEDULE'!G39, 0)</f>
        <v>0</v>
      </c>
    </row>
    <row r="39" spans="2:10" x14ac:dyDescent="0.25">
      <c r="B39" s="11">
        <f>'DASHVOLT REVENUE SCHEDULE'!B40</f>
        <v>45902</v>
      </c>
      <c r="C39" s="13">
        <f>'DASHVOLT REVENUE SCHEDULE'!C40</f>
        <v>0</v>
      </c>
      <c r="D39" s="13" t="str">
        <f>'DASHVOLT REVENUE SCHEDULE'!E40</f>
        <v>COMPLETED</v>
      </c>
      <c r="E39" s="13" t="str">
        <f>'DASHVOLT REVENUE SCHEDULE'!F40</f>
        <v>Wuye</v>
      </c>
      <c r="F39" s="13">
        <f>IF('DASHVOLT REVENUE SCHEDULE'!D40= "Aminu Ibrahim", 'DASHVOLT REVENUE SCHEDULE'!G40, 0)</f>
        <v>0</v>
      </c>
      <c r="G39" s="13">
        <f>IF('DASHVOLT REVENUE SCHEDULE'!D40= "Bello Saulawa",'DASHVOLT REVENUE SCHEDULE'!G40, 0)</f>
        <v>0</v>
      </c>
      <c r="H39" s="13">
        <f>IF('DASHVOLT REVENUE SCHEDULE'!D40= "Murtala Hassan", 'DASHVOLT REVENUE SCHEDULE'!G40, 0)</f>
        <v>2500</v>
      </c>
      <c r="I39" s="13">
        <f>IF('DASHVOLT REVENUE SCHEDULE'!D40= "Babangida Monde", 'DASHVOLT REVENUE SCHEDULE'!G40, 0)</f>
        <v>0</v>
      </c>
      <c r="J39" s="13">
        <f>IF('DASHVOLT REVENUE SCHEDULE'!D40= "Bello Abdullahi", 'DASHVOLT REVENUE SCHEDULE'!G40, 0)</f>
        <v>0</v>
      </c>
    </row>
    <row r="40" spans="2:10" x14ac:dyDescent="0.25">
      <c r="B40" s="11">
        <f>'DASHVOLT REVENUE SCHEDULE'!B41</f>
        <v>45902</v>
      </c>
      <c r="C40" s="13">
        <f>'DASHVOLT REVENUE SCHEDULE'!C41</f>
        <v>0</v>
      </c>
      <c r="D40" s="13" t="str">
        <f>'DASHVOLT REVENUE SCHEDULE'!E41</f>
        <v>COMPLETED</v>
      </c>
      <c r="E40" s="13" t="str">
        <f>'DASHVOLT REVENUE SCHEDULE'!F41</f>
        <v>Jahi</v>
      </c>
      <c r="F40" s="13">
        <f>IF('DASHVOLT REVENUE SCHEDULE'!D41= "Aminu Ibrahim", 'DASHVOLT REVENUE SCHEDULE'!G41, 0)</f>
        <v>0</v>
      </c>
      <c r="G40" s="13">
        <f>IF('DASHVOLT REVENUE SCHEDULE'!D41= "Bello Saulawa",'DASHVOLT REVENUE SCHEDULE'!G41, 0)</f>
        <v>0</v>
      </c>
      <c r="H40" s="13">
        <f>IF('DASHVOLT REVENUE SCHEDULE'!D41= "Murtala Hassan", 'DASHVOLT REVENUE SCHEDULE'!G41, 0)</f>
        <v>0</v>
      </c>
      <c r="I40" s="13">
        <f>IF('DASHVOLT REVENUE SCHEDULE'!D41= "Babangida Monde", 'DASHVOLT REVENUE SCHEDULE'!G41, 0)</f>
        <v>0</v>
      </c>
      <c r="J40" s="13">
        <f>IF('DASHVOLT REVENUE SCHEDULE'!D41= "Bello Abdullahi", 'DASHVOLT REVENUE SCHEDULE'!G41, 0)</f>
        <v>2200</v>
      </c>
    </row>
    <row r="41" spans="2:10" x14ac:dyDescent="0.25">
      <c r="B41" s="11">
        <f>'DASHVOLT REVENUE SCHEDULE'!B42</f>
        <v>45902</v>
      </c>
      <c r="C41" s="13">
        <f>'DASHVOLT REVENUE SCHEDULE'!C42</f>
        <v>0</v>
      </c>
      <c r="D41" s="13" t="str">
        <f>'DASHVOLT REVENUE SCHEDULE'!E42</f>
        <v>COMPLETED</v>
      </c>
      <c r="E41" s="13" t="str">
        <f>'DASHVOLT REVENUE SCHEDULE'!F42</f>
        <v>CBD</v>
      </c>
      <c r="F41" s="13">
        <f>IF('DASHVOLT REVENUE SCHEDULE'!D42= "Aminu Ibrahim", 'DASHVOLT REVENUE SCHEDULE'!G42, 0)</f>
        <v>0</v>
      </c>
      <c r="G41" s="13">
        <f>IF('DASHVOLT REVENUE SCHEDULE'!D42= "Bello Saulawa",'DASHVOLT REVENUE SCHEDULE'!G42, 0)</f>
        <v>2700</v>
      </c>
      <c r="H41" s="13">
        <f>IF('DASHVOLT REVENUE SCHEDULE'!D42= "Murtala Hassan", 'DASHVOLT REVENUE SCHEDULE'!G42, 0)</f>
        <v>0</v>
      </c>
      <c r="I41" s="13">
        <f>IF('DASHVOLT REVENUE SCHEDULE'!D42= "Babangida Monde", 'DASHVOLT REVENUE SCHEDULE'!G42, 0)</f>
        <v>0</v>
      </c>
      <c r="J41" s="13">
        <f>IF('DASHVOLT REVENUE SCHEDULE'!D42= "Bello Abdullahi", 'DASHVOLT REVENUE SCHEDULE'!G42, 0)</f>
        <v>0</v>
      </c>
    </row>
    <row r="42" spans="2:10" x14ac:dyDescent="0.25">
      <c r="B42" s="11">
        <f>'DASHVOLT REVENUE SCHEDULE'!B43</f>
        <v>45902</v>
      </c>
      <c r="C42" s="13">
        <f>'DASHVOLT REVENUE SCHEDULE'!C43</f>
        <v>0</v>
      </c>
      <c r="D42" s="13" t="str">
        <f>'DASHVOLT REVENUE SCHEDULE'!E43</f>
        <v>COMPLETED</v>
      </c>
      <c r="E42" s="13" t="str">
        <f>'DASHVOLT REVENUE SCHEDULE'!F43</f>
        <v>Lokogoma</v>
      </c>
      <c r="F42" s="13">
        <f>IF('DASHVOLT REVENUE SCHEDULE'!D43= "Aminu Ibrahim", 'DASHVOLT REVENUE SCHEDULE'!G43, 0)</f>
        <v>0</v>
      </c>
      <c r="G42" s="13">
        <f>IF('DASHVOLT REVENUE SCHEDULE'!D43= "Bello Saulawa",'DASHVOLT REVENUE SCHEDULE'!G43, 0)</f>
        <v>4000</v>
      </c>
      <c r="H42" s="13">
        <f>IF('DASHVOLT REVENUE SCHEDULE'!D43= "Murtala Hassan", 'DASHVOLT REVENUE SCHEDULE'!G43, 0)</f>
        <v>0</v>
      </c>
      <c r="I42" s="13">
        <f>IF('DASHVOLT REVENUE SCHEDULE'!D43= "Babangida Monde", 'DASHVOLT REVENUE SCHEDULE'!G43, 0)</f>
        <v>0</v>
      </c>
      <c r="J42" s="13">
        <f>IF('DASHVOLT REVENUE SCHEDULE'!D43= "Bello Abdullahi", 'DASHVOLT REVENUE SCHEDULE'!G43, 0)</f>
        <v>0</v>
      </c>
    </row>
    <row r="43" spans="2:10" x14ac:dyDescent="0.25">
      <c r="B43" s="11">
        <f>'DASHVOLT REVENUE SCHEDULE'!B44</f>
        <v>45902</v>
      </c>
      <c r="C43" s="13">
        <f>'DASHVOLT REVENUE SCHEDULE'!C44</f>
        <v>0</v>
      </c>
      <c r="D43" s="13" t="str">
        <f>'DASHVOLT REVENUE SCHEDULE'!E44</f>
        <v>COMPLETED</v>
      </c>
      <c r="E43" s="13" t="str">
        <f>'DASHVOLT REVENUE SCHEDULE'!F44</f>
        <v>Kado</v>
      </c>
      <c r="F43" s="13">
        <f>IF('DASHVOLT REVENUE SCHEDULE'!D44= "Aminu Ibrahim", 'DASHVOLT REVENUE SCHEDULE'!G44, 0)</f>
        <v>0</v>
      </c>
      <c r="G43" s="13">
        <f>IF('DASHVOLT REVENUE SCHEDULE'!D44= "Bello Saulawa",'DASHVOLT REVENUE SCHEDULE'!G44, 0)</f>
        <v>0</v>
      </c>
      <c r="H43" s="13">
        <f>IF('DASHVOLT REVENUE SCHEDULE'!D44= "Murtala Hassan", 'DASHVOLT REVENUE SCHEDULE'!G44, 0)</f>
        <v>0</v>
      </c>
      <c r="I43" s="13">
        <f>IF('DASHVOLT REVENUE SCHEDULE'!D44= "Babangida Monde", 'DASHVOLT REVENUE SCHEDULE'!G44, 0)</f>
        <v>0</v>
      </c>
      <c r="J43" s="13">
        <f>IF('DASHVOLT REVENUE SCHEDULE'!D44= "Bello Abdullahi", 'DASHVOLT REVENUE SCHEDULE'!G44, 0)</f>
        <v>1700</v>
      </c>
    </row>
    <row r="44" spans="2:10" x14ac:dyDescent="0.25">
      <c r="B44" s="11">
        <f>'DASHVOLT REVENUE SCHEDULE'!B45</f>
        <v>45902</v>
      </c>
      <c r="C44" s="13">
        <f>'DASHVOLT REVENUE SCHEDULE'!C45</f>
        <v>0</v>
      </c>
      <c r="D44" s="13" t="str">
        <f>'DASHVOLT REVENUE SCHEDULE'!E45</f>
        <v>COMPLETED</v>
      </c>
      <c r="E44" s="13" t="str">
        <f>'DASHVOLT REVENUE SCHEDULE'!F45</f>
        <v>CBD</v>
      </c>
      <c r="F44" s="13">
        <f>IF('DASHVOLT REVENUE SCHEDULE'!D45= "Aminu Ibrahim", 'DASHVOLT REVENUE SCHEDULE'!G45, 0)</f>
        <v>0</v>
      </c>
      <c r="G44" s="13">
        <f>IF('DASHVOLT REVENUE SCHEDULE'!D45= "Bello Saulawa",'DASHVOLT REVENUE SCHEDULE'!G45, 0)</f>
        <v>0</v>
      </c>
      <c r="H44" s="13">
        <f>IF('DASHVOLT REVENUE SCHEDULE'!D45= "Murtala Hassan", 'DASHVOLT REVENUE SCHEDULE'!G45, 0)</f>
        <v>0</v>
      </c>
      <c r="I44" s="13">
        <f>IF('DASHVOLT REVENUE SCHEDULE'!D45= "Babangida Monde", 'DASHVOLT REVENUE SCHEDULE'!G45, 0)</f>
        <v>0</v>
      </c>
      <c r="J44" s="13">
        <f>IF('DASHVOLT REVENUE SCHEDULE'!D45= "Bello Abdullahi", 'DASHVOLT REVENUE SCHEDULE'!G45, 0)</f>
        <v>2700</v>
      </c>
    </row>
    <row r="45" spans="2:10" x14ac:dyDescent="0.25">
      <c r="B45" s="11">
        <f>'DASHVOLT REVENUE SCHEDULE'!B46</f>
        <v>45902</v>
      </c>
      <c r="C45" s="13">
        <f>'DASHVOLT REVENUE SCHEDULE'!C46</f>
        <v>0</v>
      </c>
      <c r="D45" s="13" t="str">
        <f>'DASHVOLT REVENUE SCHEDULE'!E46</f>
        <v>COMPLETED</v>
      </c>
      <c r="E45" s="13" t="str">
        <f>'DASHVOLT REVENUE SCHEDULE'!F46</f>
        <v>CBD</v>
      </c>
      <c r="F45" s="13">
        <f>IF('DASHVOLT REVENUE SCHEDULE'!D46= "Aminu Ibrahim", 'DASHVOLT REVENUE SCHEDULE'!G46, 0)</f>
        <v>0</v>
      </c>
      <c r="G45" s="13">
        <f>IF('DASHVOLT REVENUE SCHEDULE'!D46= "Bello Saulawa",'DASHVOLT REVENUE SCHEDULE'!G46, 0)</f>
        <v>2700</v>
      </c>
      <c r="H45" s="13">
        <f>IF('DASHVOLT REVENUE SCHEDULE'!D46= "Murtala Hassan", 'DASHVOLT REVENUE SCHEDULE'!G46, 0)</f>
        <v>0</v>
      </c>
      <c r="I45" s="13">
        <f>IF('DASHVOLT REVENUE SCHEDULE'!D46= "Babangida Monde", 'DASHVOLT REVENUE SCHEDULE'!G46, 0)</f>
        <v>0</v>
      </c>
      <c r="J45" s="13">
        <f>IF('DASHVOLT REVENUE SCHEDULE'!D46= "Bello Abdullahi", 'DASHVOLT REVENUE SCHEDULE'!G46, 0)</f>
        <v>0</v>
      </c>
    </row>
    <row r="46" spans="2:10" x14ac:dyDescent="0.25">
      <c r="B46" s="11">
        <f>'DASHVOLT REVENUE SCHEDULE'!B47</f>
        <v>45902</v>
      </c>
      <c r="C46" s="13">
        <f>'DASHVOLT REVENUE SCHEDULE'!C47</f>
        <v>0</v>
      </c>
      <c r="D46" s="13" t="str">
        <f>'DASHVOLT REVENUE SCHEDULE'!E47</f>
        <v>COMPLETED</v>
      </c>
      <c r="E46" s="13" t="str">
        <f>'DASHVOLT REVENUE SCHEDULE'!F47</f>
        <v>Katampe</v>
      </c>
      <c r="F46" s="13">
        <f>IF('DASHVOLT REVENUE SCHEDULE'!D47= "Aminu Ibrahim", 'DASHVOLT REVENUE SCHEDULE'!G47, 0)</f>
        <v>0</v>
      </c>
      <c r="G46" s="13">
        <f>IF('DASHVOLT REVENUE SCHEDULE'!D47= "Bello Saulawa",'DASHVOLT REVENUE SCHEDULE'!G47, 0)</f>
        <v>2500</v>
      </c>
      <c r="H46" s="13">
        <f>IF('DASHVOLT REVENUE SCHEDULE'!D47= "Murtala Hassan", 'DASHVOLT REVENUE SCHEDULE'!G47, 0)</f>
        <v>0</v>
      </c>
      <c r="I46" s="13">
        <f>IF('DASHVOLT REVENUE SCHEDULE'!D47= "Babangida Monde", 'DASHVOLT REVENUE SCHEDULE'!G47, 0)</f>
        <v>0</v>
      </c>
      <c r="J46" s="13">
        <f>IF('DASHVOLT REVENUE SCHEDULE'!D47= "Bello Abdullahi", 'DASHVOLT REVENUE SCHEDULE'!G47, 0)</f>
        <v>0</v>
      </c>
    </row>
    <row r="47" spans="2:10" x14ac:dyDescent="0.25">
      <c r="B47" s="11">
        <f>'DASHVOLT REVENUE SCHEDULE'!B48</f>
        <v>45903</v>
      </c>
      <c r="C47" s="13">
        <f>'DASHVOLT REVENUE SCHEDULE'!C48</f>
        <v>0</v>
      </c>
      <c r="D47" s="13" t="str">
        <f>'DASHVOLT REVENUE SCHEDULE'!E48</f>
        <v>COMPLETED</v>
      </c>
      <c r="E47" s="13" t="str">
        <f>'DASHVOLT REVENUE SCHEDULE'!F48</f>
        <v>CBD</v>
      </c>
      <c r="F47" s="13">
        <f>IF('DASHVOLT REVENUE SCHEDULE'!D48= "Aminu Ibrahim", 'DASHVOLT REVENUE SCHEDULE'!G48, 0)</f>
        <v>0</v>
      </c>
      <c r="G47" s="13">
        <f>IF('DASHVOLT REVENUE SCHEDULE'!D48= "Bello Saulawa",'DASHVOLT REVENUE SCHEDULE'!G48, 0)</f>
        <v>2700</v>
      </c>
      <c r="H47" s="13">
        <f>IF('DASHVOLT REVENUE SCHEDULE'!D48= "Murtala Hassan", 'DASHVOLT REVENUE SCHEDULE'!G48, 0)</f>
        <v>0</v>
      </c>
      <c r="I47" s="13">
        <f>IF('DASHVOLT REVENUE SCHEDULE'!D48= "Babangida Monde", 'DASHVOLT REVENUE SCHEDULE'!G48, 0)</f>
        <v>0</v>
      </c>
      <c r="J47" s="13">
        <f>IF('DASHVOLT REVENUE SCHEDULE'!D48= "Bello Abdullahi", 'DASHVOLT REVENUE SCHEDULE'!G48, 0)</f>
        <v>0</v>
      </c>
    </row>
    <row r="48" spans="2:10" x14ac:dyDescent="0.25">
      <c r="B48" s="11">
        <f>'DASHVOLT REVENUE SCHEDULE'!B49</f>
        <v>45903</v>
      </c>
      <c r="C48" s="13">
        <f>'DASHVOLT REVENUE SCHEDULE'!C49</f>
        <v>0</v>
      </c>
      <c r="D48" s="13" t="str">
        <f>'DASHVOLT REVENUE SCHEDULE'!E49</f>
        <v>COMPLETED</v>
      </c>
      <c r="E48" s="13" t="str">
        <f>'DASHVOLT REVENUE SCHEDULE'!F49</f>
        <v>Garki</v>
      </c>
      <c r="F48" s="13">
        <f>IF('DASHVOLT REVENUE SCHEDULE'!D49= "Aminu Ibrahim", 'DASHVOLT REVENUE SCHEDULE'!G49, 0)</f>
        <v>0</v>
      </c>
      <c r="G48" s="13">
        <f>IF('DASHVOLT REVENUE SCHEDULE'!D49= "Bello Saulawa",'DASHVOLT REVENUE SCHEDULE'!G49, 0)</f>
        <v>3000</v>
      </c>
      <c r="H48" s="13">
        <f>IF('DASHVOLT REVENUE SCHEDULE'!D49= "Murtala Hassan", 'DASHVOLT REVENUE SCHEDULE'!G49, 0)</f>
        <v>0</v>
      </c>
      <c r="I48" s="13">
        <f>IF('DASHVOLT REVENUE SCHEDULE'!D49= "Babangida Monde", 'DASHVOLT REVENUE SCHEDULE'!G49, 0)</f>
        <v>0</v>
      </c>
      <c r="J48" s="13">
        <f>IF('DASHVOLT REVENUE SCHEDULE'!D49= "Bello Abdullahi", 'DASHVOLT REVENUE SCHEDULE'!G49, 0)</f>
        <v>0</v>
      </c>
    </row>
    <row r="49" spans="2:10" x14ac:dyDescent="0.25">
      <c r="B49" s="11">
        <f>'DASHVOLT REVENUE SCHEDULE'!B50</f>
        <v>45903</v>
      </c>
      <c r="C49" s="13">
        <f>'DASHVOLT REVENUE SCHEDULE'!C50</f>
        <v>0</v>
      </c>
      <c r="D49" s="13" t="str">
        <f>'DASHVOLT REVENUE SCHEDULE'!E50</f>
        <v>COMPLETED</v>
      </c>
      <c r="E49" s="13" t="str">
        <f>'DASHVOLT REVENUE SCHEDULE'!F50</f>
        <v>Jabi</v>
      </c>
      <c r="F49" s="13">
        <f>IF('DASHVOLT REVENUE SCHEDULE'!D50= "Aminu Ibrahim", 'DASHVOLT REVENUE SCHEDULE'!G50, 0)</f>
        <v>0</v>
      </c>
      <c r="G49" s="13">
        <f>IF('DASHVOLT REVENUE SCHEDULE'!D50= "Bello Saulawa",'DASHVOLT REVENUE SCHEDULE'!G50, 0)</f>
        <v>0</v>
      </c>
      <c r="H49" s="13">
        <f>IF('DASHVOLT REVENUE SCHEDULE'!D50= "Murtala Hassan", 'DASHVOLT REVENUE SCHEDULE'!G50, 0)</f>
        <v>2500</v>
      </c>
      <c r="I49" s="13">
        <f>IF('DASHVOLT REVENUE SCHEDULE'!D50= "Babangida Monde", 'DASHVOLT REVENUE SCHEDULE'!G50, 0)</f>
        <v>0</v>
      </c>
      <c r="J49" s="13">
        <f>IF('DASHVOLT REVENUE SCHEDULE'!D50= "Bello Abdullahi", 'DASHVOLT REVENUE SCHEDULE'!G50, 0)</f>
        <v>0</v>
      </c>
    </row>
    <row r="50" spans="2:10" x14ac:dyDescent="0.25">
      <c r="B50" s="11">
        <f>'DASHVOLT REVENUE SCHEDULE'!B51</f>
        <v>45903</v>
      </c>
      <c r="C50" s="13">
        <f>'DASHVOLT REVENUE SCHEDULE'!C51</f>
        <v>0</v>
      </c>
      <c r="D50" s="13" t="str">
        <f>'DASHVOLT REVENUE SCHEDULE'!E51</f>
        <v>COMPLETED</v>
      </c>
      <c r="E50" s="13" t="str">
        <f>'DASHVOLT REVENUE SCHEDULE'!F51</f>
        <v>Life camp</v>
      </c>
      <c r="F50" s="13">
        <f>IF('DASHVOLT REVENUE SCHEDULE'!D51= "Aminu Ibrahim", 'DASHVOLT REVENUE SCHEDULE'!G51, 0)</f>
        <v>0</v>
      </c>
      <c r="G50" s="13">
        <f>IF('DASHVOLT REVENUE SCHEDULE'!D51= "Bello Saulawa",'DASHVOLT REVENUE SCHEDULE'!G51, 0)</f>
        <v>0</v>
      </c>
      <c r="H50" s="13">
        <f>IF('DASHVOLT REVENUE SCHEDULE'!D51= "Murtala Hassan", 'DASHVOLT REVENUE SCHEDULE'!G51, 0)</f>
        <v>0</v>
      </c>
      <c r="I50" s="13">
        <f>IF('DASHVOLT REVENUE SCHEDULE'!D51= "Babangida Monde", 'DASHVOLT REVENUE SCHEDULE'!G51, 0)</f>
        <v>0</v>
      </c>
      <c r="J50" s="13">
        <f>IF('DASHVOLT REVENUE SCHEDULE'!D51= "Bello Abdullahi", 'DASHVOLT REVENUE SCHEDULE'!G51, 0)</f>
        <v>2200</v>
      </c>
    </row>
    <row r="51" spans="2:10" x14ac:dyDescent="0.25">
      <c r="B51" s="11">
        <f>'DASHVOLT REVENUE SCHEDULE'!B52</f>
        <v>45903</v>
      </c>
      <c r="C51" s="13">
        <f>'DASHVOLT REVENUE SCHEDULE'!C52</f>
        <v>0</v>
      </c>
      <c r="D51" s="13" t="str">
        <f>'DASHVOLT REVENUE SCHEDULE'!E52</f>
        <v>COMPLETED</v>
      </c>
      <c r="E51" s="13" t="str">
        <f>'DASHVOLT REVENUE SCHEDULE'!F52</f>
        <v>Karsana</v>
      </c>
      <c r="F51" s="13">
        <f>IF('DASHVOLT REVENUE SCHEDULE'!D52= "Aminu Ibrahim", 'DASHVOLT REVENUE SCHEDULE'!G52, 0)</f>
        <v>0</v>
      </c>
      <c r="G51" s="13">
        <f>IF('DASHVOLT REVENUE SCHEDULE'!D52= "Bello Saulawa",'DASHVOLT REVENUE SCHEDULE'!G52, 0)</f>
        <v>0</v>
      </c>
      <c r="H51" s="13">
        <f>IF('DASHVOLT REVENUE SCHEDULE'!D52= "Murtala Hassan", 'DASHVOLT REVENUE SCHEDULE'!G52, 0)</f>
        <v>0</v>
      </c>
      <c r="I51" s="13">
        <f>IF('DASHVOLT REVENUE SCHEDULE'!D52= "Babangida Monde", 'DASHVOLT REVENUE SCHEDULE'!G52, 0)</f>
        <v>0</v>
      </c>
      <c r="J51" s="13">
        <f>IF('DASHVOLT REVENUE SCHEDULE'!D52= "Bello Abdullahi", 'DASHVOLT REVENUE SCHEDULE'!G52, 0)</f>
        <v>2700</v>
      </c>
    </row>
    <row r="52" spans="2:10" x14ac:dyDescent="0.25">
      <c r="B52" s="11">
        <f>'DASHVOLT REVENUE SCHEDULE'!B53</f>
        <v>45903</v>
      </c>
      <c r="C52" s="13">
        <f>'DASHVOLT REVENUE SCHEDULE'!C53</f>
        <v>0</v>
      </c>
      <c r="D52" s="13" t="str">
        <f>'DASHVOLT REVENUE SCHEDULE'!E53</f>
        <v>COMPLETED</v>
      </c>
      <c r="E52" s="13" t="str">
        <f>'DASHVOLT REVENUE SCHEDULE'!F53</f>
        <v>Garki</v>
      </c>
      <c r="F52" s="13">
        <f>IF('DASHVOLT REVENUE SCHEDULE'!D53= "Aminu Ibrahim", 'DASHVOLT REVENUE SCHEDULE'!G53, 0)</f>
        <v>0</v>
      </c>
      <c r="G52" s="13">
        <f>IF('DASHVOLT REVENUE SCHEDULE'!D53= "Bello Saulawa",'DASHVOLT REVENUE SCHEDULE'!G53, 0)</f>
        <v>3000</v>
      </c>
      <c r="H52" s="13">
        <f>IF('DASHVOLT REVENUE SCHEDULE'!D53= "Murtala Hassan", 'DASHVOLT REVENUE SCHEDULE'!G53, 0)</f>
        <v>0</v>
      </c>
      <c r="I52" s="13">
        <f>IF('DASHVOLT REVENUE SCHEDULE'!D53= "Babangida Monde", 'DASHVOLT REVENUE SCHEDULE'!G53, 0)</f>
        <v>0</v>
      </c>
      <c r="J52" s="13">
        <f>IF('DASHVOLT REVENUE SCHEDULE'!D53= "Bello Abdullahi", 'DASHVOLT REVENUE SCHEDULE'!G53, 0)</f>
        <v>0</v>
      </c>
    </row>
    <row r="53" spans="2:10" x14ac:dyDescent="0.25">
      <c r="B53" s="11">
        <f>'DASHVOLT REVENUE SCHEDULE'!B54</f>
        <v>45903</v>
      </c>
      <c r="C53" s="13">
        <f>'DASHVOLT REVENUE SCHEDULE'!C54</f>
        <v>0</v>
      </c>
      <c r="D53" s="13" t="str">
        <f>'DASHVOLT REVENUE SCHEDULE'!E54</f>
        <v>COMPLETED</v>
      </c>
      <c r="E53" s="13" t="str">
        <f>'DASHVOLT REVENUE SCHEDULE'!F54</f>
        <v>Appo legislative qtrs</v>
      </c>
      <c r="F53" s="13">
        <f>IF('DASHVOLT REVENUE SCHEDULE'!D54= "Aminu Ibrahim", 'DASHVOLT REVENUE SCHEDULE'!G54, 0)</f>
        <v>0</v>
      </c>
      <c r="G53" s="13">
        <f>IF('DASHVOLT REVENUE SCHEDULE'!D54= "Bello Saulawa",'DASHVOLT REVENUE SCHEDULE'!G54, 0)</f>
        <v>3000</v>
      </c>
      <c r="H53" s="13">
        <f>IF('DASHVOLT REVENUE SCHEDULE'!D54= "Murtala Hassan", 'DASHVOLT REVENUE SCHEDULE'!G54, 0)</f>
        <v>0</v>
      </c>
      <c r="I53" s="13">
        <f>IF('DASHVOLT REVENUE SCHEDULE'!D54= "Babangida Monde", 'DASHVOLT REVENUE SCHEDULE'!G54, 0)</f>
        <v>0</v>
      </c>
      <c r="J53" s="13">
        <f>IF('DASHVOLT REVENUE SCHEDULE'!D54= "Bello Abdullahi", 'DASHVOLT REVENUE SCHEDULE'!G54, 0)</f>
        <v>0</v>
      </c>
    </row>
    <row r="54" spans="2:10" x14ac:dyDescent="0.25">
      <c r="B54" s="11">
        <f>'DASHVOLT REVENUE SCHEDULE'!B55</f>
        <v>45904</v>
      </c>
      <c r="C54" s="13">
        <f>'DASHVOLT REVENUE SCHEDULE'!C55</f>
        <v>0</v>
      </c>
      <c r="D54" s="13" t="str">
        <f>'DASHVOLT REVENUE SCHEDULE'!E55</f>
        <v>COMPLETED</v>
      </c>
      <c r="E54" s="13" t="str">
        <f>'DASHVOLT REVENUE SCHEDULE'!F55</f>
        <v>Jabi</v>
      </c>
      <c r="F54" s="13">
        <f>IF('DASHVOLT REVENUE SCHEDULE'!D55= "Aminu Ibrahim", 'DASHVOLT REVENUE SCHEDULE'!G55, 0)</f>
        <v>0</v>
      </c>
      <c r="G54" s="13">
        <f>IF('DASHVOLT REVENUE SCHEDULE'!D55= "Bello Saulawa",'DASHVOLT REVENUE SCHEDULE'!G55, 0)</f>
        <v>0</v>
      </c>
      <c r="H54" s="13">
        <f>IF('DASHVOLT REVENUE SCHEDULE'!D55= "Murtala Hassan", 'DASHVOLT REVENUE SCHEDULE'!G55, 0)</f>
        <v>0</v>
      </c>
      <c r="I54" s="13">
        <f>IF('DASHVOLT REVENUE SCHEDULE'!D55= "Babangida Monde", 'DASHVOLT REVENUE SCHEDULE'!G55, 0)</f>
        <v>0</v>
      </c>
      <c r="J54" s="13">
        <f>IF('DASHVOLT REVENUE SCHEDULE'!D55= "Bello Abdullahi", 'DASHVOLT REVENUE SCHEDULE'!G55, 0)</f>
        <v>2500</v>
      </c>
    </row>
    <row r="55" spans="2:10" x14ac:dyDescent="0.25">
      <c r="B55" s="11">
        <f>'DASHVOLT REVENUE SCHEDULE'!B56</f>
        <v>45904</v>
      </c>
      <c r="C55" s="13">
        <f>'DASHVOLT REVENUE SCHEDULE'!C56</f>
        <v>0</v>
      </c>
      <c r="D55" s="13" t="str">
        <f>'DASHVOLT REVENUE SCHEDULE'!E56</f>
        <v>COMPLETED</v>
      </c>
      <c r="E55" s="13" t="str">
        <f>'DASHVOLT REVENUE SCHEDULE'!F56</f>
        <v>Jahi</v>
      </c>
      <c r="F55" s="13">
        <f>IF('DASHVOLT REVENUE SCHEDULE'!D56= "Aminu Ibrahim", 'DASHVOLT REVENUE SCHEDULE'!G56, 0)</f>
        <v>0</v>
      </c>
      <c r="G55" s="13">
        <f>IF('DASHVOLT REVENUE SCHEDULE'!D56= "Bello Saulawa",'DASHVOLT REVENUE SCHEDULE'!G56, 0)</f>
        <v>0</v>
      </c>
      <c r="H55" s="13">
        <f>IF('DASHVOLT REVENUE SCHEDULE'!D56= "Murtala Hassan", 'DASHVOLT REVENUE SCHEDULE'!G56, 0)</f>
        <v>0</v>
      </c>
      <c r="I55" s="13">
        <f>IF('DASHVOLT REVENUE SCHEDULE'!D56= "Babangida Monde", 'DASHVOLT REVENUE SCHEDULE'!G56, 0)</f>
        <v>0</v>
      </c>
      <c r="J55" s="13">
        <f>IF('DASHVOLT REVENUE SCHEDULE'!D56= "Bello Abdullahi", 'DASHVOLT REVENUE SCHEDULE'!G56, 0)</f>
        <v>2200</v>
      </c>
    </row>
    <row r="56" spans="2:10" x14ac:dyDescent="0.25">
      <c r="B56" s="11">
        <f>'DASHVOLT REVENUE SCHEDULE'!B57</f>
        <v>45904</v>
      </c>
      <c r="C56" s="13">
        <f>'DASHVOLT REVENUE SCHEDULE'!C57</f>
        <v>0</v>
      </c>
      <c r="D56" s="13" t="str">
        <f>'DASHVOLT REVENUE SCHEDULE'!E57</f>
        <v>COMPLETED</v>
      </c>
      <c r="E56" s="13" t="str">
        <f>'DASHVOLT REVENUE SCHEDULE'!F57</f>
        <v>Guzape</v>
      </c>
      <c r="F56" s="13">
        <f>IF('DASHVOLT REVENUE SCHEDULE'!D57= "Aminu Ibrahim", 'DASHVOLT REVENUE SCHEDULE'!G57, 0)</f>
        <v>0</v>
      </c>
      <c r="G56" s="13">
        <f>IF('DASHVOLT REVENUE SCHEDULE'!D57= "Bello Saulawa",'DASHVOLT REVENUE SCHEDULE'!G57, 0)</f>
        <v>0</v>
      </c>
      <c r="H56" s="13">
        <f>IF('DASHVOLT REVENUE SCHEDULE'!D57= "Murtala Hassan", 'DASHVOLT REVENUE SCHEDULE'!G57, 0)</f>
        <v>0</v>
      </c>
      <c r="I56" s="13">
        <f>IF('DASHVOLT REVENUE SCHEDULE'!D57= "Babangida Monde", 'DASHVOLT REVENUE SCHEDULE'!G57, 0)</f>
        <v>0</v>
      </c>
      <c r="J56" s="13">
        <f>IF('DASHVOLT REVENUE SCHEDULE'!D57= "Bello Abdullahi", 'DASHVOLT REVENUE SCHEDULE'!G57, 0)</f>
        <v>3200</v>
      </c>
    </row>
    <row r="57" spans="2:10" x14ac:dyDescent="0.25">
      <c r="B57" s="11">
        <f>'DASHVOLT REVENUE SCHEDULE'!B58</f>
        <v>45904</v>
      </c>
      <c r="C57" s="13">
        <f>'DASHVOLT REVENUE SCHEDULE'!C58</f>
        <v>0</v>
      </c>
      <c r="D57" s="13" t="str">
        <f>'DASHVOLT REVENUE SCHEDULE'!E58</f>
        <v>COMPLETED</v>
      </c>
      <c r="E57" s="13" t="str">
        <f>'DASHVOLT REVENUE SCHEDULE'!F58</f>
        <v>Jabi</v>
      </c>
      <c r="F57" s="13">
        <f>IF('DASHVOLT REVENUE SCHEDULE'!D58= "Aminu Ibrahim", 'DASHVOLT REVENUE SCHEDULE'!G58, 0)</f>
        <v>0</v>
      </c>
      <c r="G57" s="13">
        <f>IF('DASHVOLT REVENUE SCHEDULE'!D58= "Bello Saulawa",'DASHVOLT REVENUE SCHEDULE'!G58, 0)</f>
        <v>0</v>
      </c>
      <c r="H57" s="13">
        <f>IF('DASHVOLT REVENUE SCHEDULE'!D58= "Murtala Hassan", 'DASHVOLT REVENUE SCHEDULE'!G58, 0)</f>
        <v>0</v>
      </c>
      <c r="I57" s="13">
        <f>IF('DASHVOLT REVENUE SCHEDULE'!D58= "Babangida Monde", 'DASHVOLT REVENUE SCHEDULE'!G58, 0)</f>
        <v>0</v>
      </c>
      <c r="J57" s="13">
        <f>IF('DASHVOLT REVENUE SCHEDULE'!D58= "Bello Abdullahi", 'DASHVOLT REVENUE SCHEDULE'!G58, 0)</f>
        <v>2500</v>
      </c>
    </row>
    <row r="58" spans="2:10" x14ac:dyDescent="0.25">
      <c r="B58" s="11">
        <f>'DASHVOLT REVENUE SCHEDULE'!B59</f>
        <v>45904</v>
      </c>
      <c r="C58" s="13">
        <f>'DASHVOLT REVENUE SCHEDULE'!C59</f>
        <v>0</v>
      </c>
      <c r="D58" s="13" t="str">
        <f>'DASHVOLT REVENUE SCHEDULE'!E59</f>
        <v>cOMPLETED</v>
      </c>
      <c r="E58" s="13" t="str">
        <f>'DASHVOLT REVENUE SCHEDULE'!F59</f>
        <v>Gishiri</v>
      </c>
      <c r="F58" s="13">
        <f>IF('DASHVOLT REVENUE SCHEDULE'!D59= "Aminu Ibrahim", 'DASHVOLT REVENUE SCHEDULE'!G59, 0)</f>
        <v>0</v>
      </c>
      <c r="G58" s="13">
        <f>IF('DASHVOLT REVENUE SCHEDULE'!D59= "Bello Saulawa",'DASHVOLT REVENUE SCHEDULE'!G59, 0)</f>
        <v>0</v>
      </c>
      <c r="H58" s="13">
        <f>IF('DASHVOLT REVENUE SCHEDULE'!D59= "Murtala Hassan", 'DASHVOLT REVENUE SCHEDULE'!G59, 0)</f>
        <v>0</v>
      </c>
      <c r="I58" s="13">
        <f>IF('DASHVOLT REVENUE SCHEDULE'!D59= "Babangida Monde", 'DASHVOLT REVENUE SCHEDULE'!G59, 0)</f>
        <v>0</v>
      </c>
      <c r="J58" s="13">
        <f>IF('DASHVOLT REVENUE SCHEDULE'!D59= "Bello Abdullahi", 'DASHVOLT REVENUE SCHEDULE'!G59, 0)</f>
        <v>2500</v>
      </c>
    </row>
    <row r="59" spans="2:10" x14ac:dyDescent="0.25">
      <c r="B59" s="11">
        <f>'DASHVOLT REVENUE SCHEDULE'!B60</f>
        <v>45904</v>
      </c>
      <c r="C59" s="13">
        <f>'DASHVOLT REVENUE SCHEDULE'!C60</f>
        <v>0</v>
      </c>
      <c r="D59" s="13" t="str">
        <f>'DASHVOLT REVENUE SCHEDULE'!E60</f>
        <v>COMPLETED</v>
      </c>
      <c r="E59" s="13" t="str">
        <f>'DASHVOLT REVENUE SCHEDULE'!F60</f>
        <v>Wuse6</v>
      </c>
      <c r="F59" s="13">
        <f>IF('DASHVOLT REVENUE SCHEDULE'!D60= "Aminu Ibrahim", 'DASHVOLT REVENUE SCHEDULE'!G60, 0)</f>
        <v>0</v>
      </c>
      <c r="G59" s="13">
        <f>IF('DASHVOLT REVENUE SCHEDULE'!D60= "Bello Saulawa",'DASHVOLT REVENUE SCHEDULE'!G60, 0)</f>
        <v>0</v>
      </c>
      <c r="H59" s="13">
        <f>IF('DASHVOLT REVENUE SCHEDULE'!D60= "Murtala Hassan", 'DASHVOLT REVENUE SCHEDULE'!G60, 0)</f>
        <v>2500</v>
      </c>
      <c r="I59" s="13">
        <f>IF('DASHVOLT REVENUE SCHEDULE'!D60= "Babangida Monde", 'DASHVOLT REVENUE SCHEDULE'!G60, 0)</f>
        <v>0</v>
      </c>
      <c r="J59" s="13">
        <f>IF('DASHVOLT REVENUE SCHEDULE'!D60= "Bello Abdullahi", 'DASHVOLT REVENUE SCHEDULE'!G60, 0)</f>
        <v>0</v>
      </c>
    </row>
    <row r="60" spans="2:10" x14ac:dyDescent="0.25">
      <c r="B60" s="11">
        <f>'DASHVOLT REVENUE SCHEDULE'!B61</f>
        <v>45904</v>
      </c>
      <c r="C60" s="13">
        <f>'DASHVOLT REVENUE SCHEDULE'!C61</f>
        <v>0</v>
      </c>
      <c r="D60" s="13" t="str">
        <f>'DASHVOLT REVENUE SCHEDULE'!E61</f>
        <v>COMPLETED</v>
      </c>
      <c r="E60" s="13" t="str">
        <f>'DASHVOLT REVENUE SCHEDULE'!F61</f>
        <v>wuse zone 6</v>
      </c>
      <c r="F60" s="13">
        <f>IF('DASHVOLT REVENUE SCHEDULE'!D61= "Aminu Ibrahim", 'DASHVOLT REVENUE SCHEDULE'!G61, 0)</f>
        <v>0</v>
      </c>
      <c r="G60" s="13">
        <f>IF('DASHVOLT REVENUE SCHEDULE'!D61= "Bello Saulawa",'DASHVOLT REVENUE SCHEDULE'!G61, 0)</f>
        <v>0</v>
      </c>
      <c r="H60" s="13">
        <f>IF('DASHVOLT REVENUE SCHEDULE'!D61= "Murtala Hassan", 'DASHVOLT REVENUE SCHEDULE'!G61, 0)</f>
        <v>2500</v>
      </c>
      <c r="I60" s="13">
        <f>IF('DASHVOLT REVENUE SCHEDULE'!D61= "Babangida Monde", 'DASHVOLT REVENUE SCHEDULE'!G61, 0)</f>
        <v>0</v>
      </c>
      <c r="J60" s="13">
        <f>IF('DASHVOLT REVENUE SCHEDULE'!D61= "Bello Abdullahi", 'DASHVOLT REVENUE SCHEDULE'!G61, 0)</f>
        <v>0</v>
      </c>
    </row>
    <row r="61" spans="2:10" x14ac:dyDescent="0.25">
      <c r="B61" s="11">
        <f>'DASHVOLT REVENUE SCHEDULE'!B62</f>
        <v>45904</v>
      </c>
      <c r="C61" s="13">
        <f>'DASHVOLT REVENUE SCHEDULE'!C62</f>
        <v>0</v>
      </c>
      <c r="D61" s="13" t="str">
        <f>'DASHVOLT REVENUE SCHEDULE'!E62</f>
        <v>COMPLETED</v>
      </c>
      <c r="E61" s="13" t="str">
        <f>'DASHVOLT REVENUE SCHEDULE'!F62</f>
        <v>Wuse2</v>
      </c>
      <c r="F61" s="13">
        <f>IF('DASHVOLT REVENUE SCHEDULE'!D62= "Aminu Ibrahim", 'DASHVOLT REVENUE SCHEDULE'!G62, 0)</f>
        <v>0</v>
      </c>
      <c r="G61" s="13">
        <f>IF('DASHVOLT REVENUE SCHEDULE'!D62= "Bello Saulawa",'DASHVOLT REVENUE SCHEDULE'!G62, 0)</f>
        <v>0</v>
      </c>
      <c r="H61" s="13">
        <f>IF('DASHVOLT REVENUE SCHEDULE'!D62= "Murtala Hassan", 'DASHVOLT REVENUE SCHEDULE'!G62, 0)</f>
        <v>2500</v>
      </c>
      <c r="I61" s="13">
        <f>IF('DASHVOLT REVENUE SCHEDULE'!D62= "Babangida Monde", 'DASHVOLT REVENUE SCHEDULE'!G62, 0)</f>
        <v>0</v>
      </c>
      <c r="J61" s="13">
        <f>IF('DASHVOLT REVENUE SCHEDULE'!D62= "Bello Abdullahi", 'DASHVOLT REVENUE SCHEDULE'!G62, 0)</f>
        <v>0</v>
      </c>
    </row>
    <row r="62" spans="2:10" x14ac:dyDescent="0.25">
      <c r="B62" s="11">
        <f>'DASHVOLT REVENUE SCHEDULE'!B63</f>
        <v>45904</v>
      </c>
      <c r="C62" s="13">
        <f>'DASHVOLT REVENUE SCHEDULE'!C63</f>
        <v>0</v>
      </c>
      <c r="D62" s="13" t="str">
        <f>'DASHVOLT REVENUE SCHEDULE'!E63</f>
        <v>COMPLETED</v>
      </c>
      <c r="E62" s="13" t="str">
        <f>'DASHVOLT REVENUE SCHEDULE'!F63</f>
        <v>Jahi</v>
      </c>
      <c r="F62" s="13">
        <f>IF('DASHVOLT REVENUE SCHEDULE'!D63= "Aminu Ibrahim", 'DASHVOLT REVENUE SCHEDULE'!G63, 0)</f>
        <v>0</v>
      </c>
      <c r="G62" s="13">
        <f>IF('DASHVOLT REVENUE SCHEDULE'!D63= "Bello Saulawa",'DASHVOLT REVENUE SCHEDULE'!G63, 0)</f>
        <v>0</v>
      </c>
      <c r="H62" s="13">
        <f>IF('DASHVOLT REVENUE SCHEDULE'!D63= "Murtala Hassan", 'DASHVOLT REVENUE SCHEDULE'!G63, 0)</f>
        <v>2200</v>
      </c>
      <c r="I62" s="13">
        <f>IF('DASHVOLT REVENUE SCHEDULE'!D63= "Babangida Monde", 'DASHVOLT REVENUE SCHEDULE'!G63, 0)</f>
        <v>0</v>
      </c>
      <c r="J62" s="13">
        <f>IF('DASHVOLT REVENUE SCHEDULE'!D63= "Bello Abdullahi", 'DASHVOLT REVENUE SCHEDULE'!G63, 0)</f>
        <v>0</v>
      </c>
    </row>
    <row r="63" spans="2:10" x14ac:dyDescent="0.25">
      <c r="B63" s="11">
        <f>'DASHVOLT REVENUE SCHEDULE'!B64</f>
        <v>45904</v>
      </c>
      <c r="C63" s="13">
        <f>'DASHVOLT REVENUE SCHEDULE'!C64</f>
        <v>0</v>
      </c>
      <c r="D63" s="13" t="str">
        <f>'DASHVOLT REVENUE SCHEDULE'!E64</f>
        <v>COMPLETED</v>
      </c>
      <c r="E63" s="13" t="str">
        <f>'DASHVOLT REVENUE SCHEDULE'!F64</f>
        <v>Life camp</v>
      </c>
      <c r="F63" s="13">
        <f>IF('DASHVOLT REVENUE SCHEDULE'!D64= "Aminu Ibrahim", 'DASHVOLT REVENUE SCHEDULE'!G64, 0)</f>
        <v>0</v>
      </c>
      <c r="G63" s="13">
        <f>IF('DASHVOLT REVENUE SCHEDULE'!D64= "Bello Saulawa",'DASHVOLT REVENUE SCHEDULE'!G64, 0)</f>
        <v>2200</v>
      </c>
      <c r="H63" s="13">
        <f>IF('DASHVOLT REVENUE SCHEDULE'!D64= "Murtala Hassan", 'DASHVOLT REVENUE SCHEDULE'!G64, 0)</f>
        <v>0</v>
      </c>
      <c r="I63" s="13">
        <f>IF('DASHVOLT REVENUE SCHEDULE'!D64= "Babangida Monde", 'DASHVOLT REVENUE SCHEDULE'!G64, 0)</f>
        <v>0</v>
      </c>
      <c r="J63" s="13">
        <f>IF('DASHVOLT REVENUE SCHEDULE'!D64= "Bello Abdullahi", 'DASHVOLT REVENUE SCHEDULE'!G64, 0)</f>
        <v>0</v>
      </c>
    </row>
    <row r="64" spans="2:10" x14ac:dyDescent="0.25">
      <c r="B64" s="11">
        <f>'DASHVOLT REVENUE SCHEDULE'!B65</f>
        <v>45904</v>
      </c>
      <c r="C64" s="13">
        <f>'DASHVOLT REVENUE SCHEDULE'!C65</f>
        <v>0</v>
      </c>
      <c r="D64" s="13" t="str">
        <f>'DASHVOLT REVENUE SCHEDULE'!E65</f>
        <v>COMPLETED</v>
      </c>
      <c r="E64" s="13" t="str">
        <f>'DASHVOLT REVENUE SCHEDULE'!F65</f>
        <v>Garki2</v>
      </c>
      <c r="F64" s="13">
        <f>IF('DASHVOLT REVENUE SCHEDULE'!D65= "Aminu Ibrahim", 'DASHVOLT REVENUE SCHEDULE'!G65, 0)</f>
        <v>0</v>
      </c>
      <c r="G64" s="13">
        <f>IF('DASHVOLT REVENUE SCHEDULE'!D65= "Bello Saulawa",'DASHVOLT REVENUE SCHEDULE'!G65, 0)</f>
        <v>3000</v>
      </c>
      <c r="H64" s="13">
        <f>IF('DASHVOLT REVENUE SCHEDULE'!D65= "Murtala Hassan", 'DASHVOLT REVENUE SCHEDULE'!G65, 0)</f>
        <v>0</v>
      </c>
      <c r="I64" s="13">
        <f>IF('DASHVOLT REVENUE SCHEDULE'!D65= "Babangida Monde", 'DASHVOLT REVENUE SCHEDULE'!G65, 0)</f>
        <v>0</v>
      </c>
      <c r="J64" s="13">
        <f>IF('DASHVOLT REVENUE SCHEDULE'!D65= "Bello Abdullahi", 'DASHVOLT REVENUE SCHEDULE'!G65, 0)</f>
        <v>0</v>
      </c>
    </row>
    <row r="65" spans="2:10" x14ac:dyDescent="0.25">
      <c r="B65" s="11">
        <f>'DASHVOLT REVENUE SCHEDULE'!B66</f>
        <v>45904</v>
      </c>
      <c r="C65" s="13">
        <f>'DASHVOLT REVENUE SCHEDULE'!C66</f>
        <v>0</v>
      </c>
      <c r="D65" s="13" t="str">
        <f>'DASHVOLT REVENUE SCHEDULE'!E66</f>
        <v>COMPLETED</v>
      </c>
      <c r="E65" s="13" t="str">
        <f>'DASHVOLT REVENUE SCHEDULE'!F66</f>
        <v>Garki2</v>
      </c>
      <c r="F65" s="13">
        <f>IF('DASHVOLT REVENUE SCHEDULE'!D66= "Aminu Ibrahim", 'DASHVOLT REVENUE SCHEDULE'!G66, 0)</f>
        <v>0</v>
      </c>
      <c r="G65" s="13">
        <f>IF('DASHVOLT REVENUE SCHEDULE'!D66= "Bello Saulawa",'DASHVOLT REVENUE SCHEDULE'!G66, 0)</f>
        <v>3000</v>
      </c>
      <c r="H65" s="13">
        <f>IF('DASHVOLT REVENUE SCHEDULE'!D66= "Murtala Hassan", 'DASHVOLT REVENUE SCHEDULE'!G66, 0)</f>
        <v>0</v>
      </c>
      <c r="I65" s="13">
        <f>IF('DASHVOLT REVENUE SCHEDULE'!D66= "Babangida Monde", 'DASHVOLT REVENUE SCHEDULE'!G66, 0)</f>
        <v>0</v>
      </c>
      <c r="J65" s="13">
        <f>IF('DASHVOLT REVENUE SCHEDULE'!D66= "Bello Abdullahi", 'DASHVOLT REVENUE SCHEDULE'!G66, 0)</f>
        <v>0</v>
      </c>
    </row>
    <row r="66" spans="2:10" x14ac:dyDescent="0.25">
      <c r="B66" s="11">
        <f>'DASHVOLT REVENUE SCHEDULE'!B67</f>
        <v>45904</v>
      </c>
      <c r="C66" s="13">
        <f>'DASHVOLT REVENUE SCHEDULE'!C67</f>
        <v>0</v>
      </c>
      <c r="D66" s="13" t="str">
        <f>'DASHVOLT REVENUE SCHEDULE'!E67</f>
        <v>COMPLETED</v>
      </c>
      <c r="E66" s="13" t="str">
        <f>'DASHVOLT REVENUE SCHEDULE'!F67</f>
        <v>mabushi</v>
      </c>
      <c r="F66" s="13">
        <f>IF('DASHVOLT REVENUE SCHEDULE'!D67= "Aminu Ibrahim", 'DASHVOLT REVENUE SCHEDULE'!G67, 0)</f>
        <v>0</v>
      </c>
      <c r="G66" s="13">
        <f>IF('DASHVOLT REVENUE SCHEDULE'!D67= "Bello Saulawa",'DASHVOLT REVENUE SCHEDULE'!G67, 0)</f>
        <v>0</v>
      </c>
      <c r="H66" s="13">
        <f>IF('DASHVOLT REVENUE SCHEDULE'!D67= "Murtala Hassan", 'DASHVOLT REVENUE SCHEDULE'!G67, 0)</f>
        <v>2200</v>
      </c>
      <c r="I66" s="13">
        <f>IF('DASHVOLT REVENUE SCHEDULE'!D67= "Babangida Monde", 'DASHVOLT REVENUE SCHEDULE'!G67, 0)</f>
        <v>0</v>
      </c>
      <c r="J66" s="13">
        <f>IF('DASHVOLT REVENUE SCHEDULE'!D67= "Bello Abdullahi", 'DASHVOLT REVENUE SCHEDULE'!G67, 0)</f>
        <v>0</v>
      </c>
    </row>
    <row r="67" spans="2:10" x14ac:dyDescent="0.25">
      <c r="B67" s="11">
        <f>'DASHVOLT REVENUE SCHEDULE'!B68</f>
        <v>45904</v>
      </c>
      <c r="C67" s="13">
        <f>'DASHVOLT REVENUE SCHEDULE'!C68</f>
        <v>0</v>
      </c>
      <c r="D67" s="13" t="str">
        <f>'DASHVOLT REVENUE SCHEDULE'!E68</f>
        <v>COMPLETED</v>
      </c>
      <c r="E67" s="13" t="str">
        <f>'DASHVOLT REVENUE SCHEDULE'!F68</f>
        <v>Maitama</v>
      </c>
      <c r="F67" s="13">
        <f>IF('DASHVOLT REVENUE SCHEDULE'!D68= "Aminu Ibrahim", 'DASHVOLT REVENUE SCHEDULE'!G68, 0)</f>
        <v>0</v>
      </c>
      <c r="G67" s="13">
        <f>IF('DASHVOLT REVENUE SCHEDULE'!D68= "Bello Saulawa",'DASHVOLT REVENUE SCHEDULE'!G68, 0)</f>
        <v>0</v>
      </c>
      <c r="H67" s="13">
        <f>IF('DASHVOLT REVENUE SCHEDULE'!D68= "Murtala Hassan", 'DASHVOLT REVENUE SCHEDULE'!G68, 0)</f>
        <v>2500</v>
      </c>
      <c r="I67" s="13">
        <f>IF('DASHVOLT REVENUE SCHEDULE'!D68= "Babangida Monde", 'DASHVOLT REVENUE SCHEDULE'!G68, 0)</f>
        <v>0</v>
      </c>
      <c r="J67" s="13">
        <f>IF('DASHVOLT REVENUE SCHEDULE'!D68= "Bello Abdullahi", 'DASHVOLT REVENUE SCHEDULE'!G68, 0)</f>
        <v>0</v>
      </c>
    </row>
    <row r="68" spans="2:10" x14ac:dyDescent="0.25">
      <c r="B68" s="11">
        <f>'DASHVOLT REVENUE SCHEDULE'!B69</f>
        <v>45904</v>
      </c>
      <c r="C68" s="13">
        <f>'DASHVOLT REVENUE SCHEDULE'!C69</f>
        <v>0</v>
      </c>
      <c r="D68" s="13" t="str">
        <f>'DASHVOLT REVENUE SCHEDULE'!E69</f>
        <v>COMPLETED</v>
      </c>
      <c r="E68" s="13" t="str">
        <f>'DASHVOLT REVENUE SCHEDULE'!F69</f>
        <v>Gwarimpa</v>
      </c>
      <c r="F68" s="13">
        <f>IF('DASHVOLT REVENUE SCHEDULE'!D69= "Aminu Ibrahim", 'DASHVOLT REVENUE SCHEDULE'!G69, 0)</f>
        <v>0</v>
      </c>
      <c r="G68" s="13">
        <f>IF('DASHVOLT REVENUE SCHEDULE'!D69= "Bello Saulawa",'DASHVOLT REVENUE SCHEDULE'!G69, 0)</f>
        <v>0</v>
      </c>
      <c r="H68" s="13">
        <f>IF('DASHVOLT REVENUE SCHEDULE'!D69= "Murtala Hassan", 'DASHVOLT REVENUE SCHEDULE'!G69, 0)</f>
        <v>2700</v>
      </c>
      <c r="I68" s="13">
        <f>IF('DASHVOLT REVENUE SCHEDULE'!D69= "Babangida Monde", 'DASHVOLT REVENUE SCHEDULE'!G69, 0)</f>
        <v>0</v>
      </c>
      <c r="J68" s="13">
        <f>IF('DASHVOLT REVENUE SCHEDULE'!D69= "Bello Abdullahi", 'DASHVOLT REVENUE SCHEDULE'!G69, 0)</f>
        <v>0</v>
      </c>
    </row>
    <row r="69" spans="2:10" x14ac:dyDescent="0.25">
      <c r="B69" s="11">
        <f>'DASHVOLT REVENUE SCHEDULE'!B70</f>
        <v>45904</v>
      </c>
      <c r="C69" s="13">
        <f>'DASHVOLT REVENUE SCHEDULE'!C70</f>
        <v>0</v>
      </c>
      <c r="D69" s="13" t="str">
        <f>'DASHVOLT REVENUE SCHEDULE'!E70</f>
        <v>COMPLETED</v>
      </c>
      <c r="E69" s="13" t="str">
        <f>'DASHVOLT REVENUE SCHEDULE'!F70</f>
        <v>CBD</v>
      </c>
      <c r="F69" s="13">
        <f>IF('DASHVOLT REVENUE SCHEDULE'!D70= "Aminu Ibrahim", 'DASHVOLT REVENUE SCHEDULE'!G70, 0)</f>
        <v>0</v>
      </c>
      <c r="G69" s="13">
        <f>IF('DASHVOLT REVENUE SCHEDULE'!D70= "Bello Saulawa",'DASHVOLT REVENUE SCHEDULE'!G70, 0)</f>
        <v>0</v>
      </c>
      <c r="H69" s="13">
        <f>IF('DASHVOLT REVENUE SCHEDULE'!D70= "Murtala Hassan", 'DASHVOLT REVENUE SCHEDULE'!G70, 0)</f>
        <v>0</v>
      </c>
      <c r="I69" s="13">
        <f>IF('DASHVOLT REVENUE SCHEDULE'!D70= "Babangida Monde", 'DASHVOLT REVENUE SCHEDULE'!G70, 0)</f>
        <v>0</v>
      </c>
      <c r="J69" s="13">
        <f>IF('DASHVOLT REVENUE SCHEDULE'!D70= "Bello Abdullahi", 'DASHVOLT REVENUE SCHEDULE'!G70, 0)</f>
        <v>2700</v>
      </c>
    </row>
    <row r="70" spans="2:10" x14ac:dyDescent="0.25">
      <c r="B70" s="11">
        <f>'DASHVOLT REVENUE SCHEDULE'!B71</f>
        <v>45904</v>
      </c>
      <c r="C70" s="13">
        <f>'DASHVOLT REVENUE SCHEDULE'!C71</f>
        <v>0</v>
      </c>
      <c r="D70" s="13" t="str">
        <f>'DASHVOLT REVENUE SCHEDULE'!E71</f>
        <v>COMPLETED</v>
      </c>
      <c r="E70" s="13" t="str">
        <f>'DASHVOLT REVENUE SCHEDULE'!F71</f>
        <v>wuse zone 5</v>
      </c>
      <c r="F70" s="13">
        <f>IF('DASHVOLT REVENUE SCHEDULE'!D71= "Aminu Ibrahim", 'DASHVOLT REVENUE SCHEDULE'!G71, 0)</f>
        <v>0</v>
      </c>
      <c r="G70" s="13">
        <f>IF('DASHVOLT REVENUE SCHEDULE'!D71= "Bello Saulawa",'DASHVOLT REVENUE SCHEDULE'!G71, 0)</f>
        <v>0</v>
      </c>
      <c r="H70" s="13">
        <f>IF('DASHVOLT REVENUE SCHEDULE'!D71= "Murtala Hassan", 'DASHVOLT REVENUE SCHEDULE'!G71, 0)</f>
        <v>0</v>
      </c>
      <c r="I70" s="13">
        <f>IF('DASHVOLT REVENUE SCHEDULE'!D71= "Babangida Monde", 'DASHVOLT REVENUE SCHEDULE'!G71, 0)</f>
        <v>0</v>
      </c>
      <c r="J70" s="13">
        <f>IF('DASHVOLT REVENUE SCHEDULE'!D71= "Bello Abdullahi", 'DASHVOLT REVENUE SCHEDULE'!G71, 0)</f>
        <v>2500</v>
      </c>
    </row>
    <row r="71" spans="2:10" x14ac:dyDescent="0.25">
      <c r="B71" s="11">
        <f>'DASHVOLT REVENUE SCHEDULE'!B72</f>
        <v>45904</v>
      </c>
      <c r="C71" s="13">
        <f>'DASHVOLT REVENUE SCHEDULE'!C72</f>
        <v>0</v>
      </c>
      <c r="D71" s="13" t="str">
        <f>'DASHVOLT REVENUE SCHEDULE'!E72</f>
        <v>COMPLETED</v>
      </c>
      <c r="E71" s="13" t="str">
        <f>'DASHVOLT REVENUE SCHEDULE'!F72</f>
        <v>Guzape</v>
      </c>
      <c r="F71" s="13">
        <f>IF('DASHVOLT REVENUE SCHEDULE'!D72= "Aminu Ibrahim", 'DASHVOLT REVENUE SCHEDULE'!G72, 0)</f>
        <v>0</v>
      </c>
      <c r="G71" s="13">
        <f>IF('DASHVOLT REVENUE SCHEDULE'!D72= "Bello Saulawa",'DASHVOLT REVENUE SCHEDULE'!G72, 0)</f>
        <v>3200</v>
      </c>
      <c r="H71" s="13">
        <f>IF('DASHVOLT REVENUE SCHEDULE'!D72= "Murtala Hassan", 'DASHVOLT REVENUE SCHEDULE'!G72, 0)</f>
        <v>0</v>
      </c>
      <c r="I71" s="13">
        <f>IF('DASHVOLT REVENUE SCHEDULE'!D72= "Babangida Monde", 'DASHVOLT REVENUE SCHEDULE'!G72, 0)</f>
        <v>0</v>
      </c>
      <c r="J71" s="13">
        <f>IF('DASHVOLT REVENUE SCHEDULE'!D72= "Bello Abdullahi", 'DASHVOLT REVENUE SCHEDULE'!G72, 0)</f>
        <v>0</v>
      </c>
    </row>
    <row r="72" spans="2:10" x14ac:dyDescent="0.25">
      <c r="B72" s="11">
        <f>'DASHVOLT REVENUE SCHEDULE'!B73</f>
        <v>45904</v>
      </c>
      <c r="C72" s="13">
        <f>'DASHVOLT REVENUE SCHEDULE'!C73</f>
        <v>0</v>
      </c>
      <c r="D72" s="13" t="str">
        <f>'DASHVOLT REVENUE SCHEDULE'!E73</f>
        <v>COMPLETED</v>
      </c>
      <c r="E72" s="13" t="str">
        <f>'DASHVOLT REVENUE SCHEDULE'!F73</f>
        <v>Life camp</v>
      </c>
      <c r="F72" s="13">
        <f>IF('DASHVOLT REVENUE SCHEDULE'!D73= "Aminu Ibrahim", 'DASHVOLT REVENUE SCHEDULE'!G73, 0)</f>
        <v>0</v>
      </c>
      <c r="G72" s="13">
        <f>IF('DASHVOLT REVENUE SCHEDULE'!D73= "Bello Saulawa",'DASHVOLT REVENUE SCHEDULE'!G73, 0)</f>
        <v>2200</v>
      </c>
      <c r="H72" s="13">
        <f>IF('DASHVOLT REVENUE SCHEDULE'!D73= "Murtala Hassan", 'DASHVOLT REVENUE SCHEDULE'!G73, 0)</f>
        <v>0</v>
      </c>
      <c r="I72" s="13">
        <f>IF('DASHVOLT REVENUE SCHEDULE'!D73= "Babangida Monde", 'DASHVOLT REVENUE SCHEDULE'!G73, 0)</f>
        <v>0</v>
      </c>
      <c r="J72" s="13">
        <f>IF('DASHVOLT REVENUE SCHEDULE'!D73= "Bello Abdullahi", 'DASHVOLT REVENUE SCHEDULE'!G73, 0)</f>
        <v>0</v>
      </c>
    </row>
    <row r="73" spans="2:10" x14ac:dyDescent="0.25">
      <c r="B73" s="11">
        <f>'DASHVOLT REVENUE SCHEDULE'!B74</f>
        <v>45904</v>
      </c>
      <c r="C73" s="13">
        <f>'DASHVOLT REVENUE SCHEDULE'!C74</f>
        <v>0</v>
      </c>
      <c r="D73" s="13" t="str">
        <f>'DASHVOLT REVENUE SCHEDULE'!E74</f>
        <v>COMPLETED</v>
      </c>
      <c r="E73" s="13" t="str">
        <f>'DASHVOLT REVENUE SCHEDULE'!F74</f>
        <v>Life camp</v>
      </c>
      <c r="F73" s="13">
        <f>IF('DASHVOLT REVENUE SCHEDULE'!D74= "Aminu Ibrahim", 'DASHVOLT REVENUE SCHEDULE'!G74, 0)</f>
        <v>0</v>
      </c>
      <c r="G73" s="13">
        <f>IF('DASHVOLT REVENUE SCHEDULE'!D74= "Bello Saulawa",'DASHVOLT REVENUE SCHEDULE'!G74, 0)</f>
        <v>2200</v>
      </c>
      <c r="H73" s="13">
        <f>IF('DASHVOLT REVENUE SCHEDULE'!D74= "Murtala Hassan", 'DASHVOLT REVENUE SCHEDULE'!G74, 0)</f>
        <v>0</v>
      </c>
      <c r="I73" s="13">
        <f>IF('DASHVOLT REVENUE SCHEDULE'!D74= "Babangida Monde", 'DASHVOLT REVENUE SCHEDULE'!G74, 0)</f>
        <v>0</v>
      </c>
      <c r="J73" s="13">
        <f>IF('DASHVOLT REVENUE SCHEDULE'!D74= "Bello Abdullahi", 'DASHVOLT REVENUE SCHEDULE'!G74, 0)</f>
        <v>0</v>
      </c>
    </row>
    <row r="74" spans="2:10" x14ac:dyDescent="0.25">
      <c r="B74" s="11">
        <f>'DASHVOLT REVENUE SCHEDULE'!B75</f>
        <v>45904</v>
      </c>
      <c r="C74" s="13">
        <f>'DASHVOLT REVENUE SCHEDULE'!C75</f>
        <v>0</v>
      </c>
      <c r="D74" s="13" t="str">
        <f>'DASHVOLT REVENUE SCHEDULE'!E75</f>
        <v>COMPLETED</v>
      </c>
      <c r="E74" s="13" t="str">
        <f>'DASHVOLT REVENUE SCHEDULE'!F75</f>
        <v>Gwarimpa</v>
      </c>
      <c r="F74" s="13">
        <f>IF('DASHVOLT REVENUE SCHEDULE'!D75= "Aminu Ibrahim", 'DASHVOLT REVENUE SCHEDULE'!G75, 0)</f>
        <v>0</v>
      </c>
      <c r="G74" s="13">
        <f>IF('DASHVOLT REVENUE SCHEDULE'!D75= "Bello Saulawa",'DASHVOLT REVENUE SCHEDULE'!G75, 0)</f>
        <v>2700</v>
      </c>
      <c r="H74" s="13">
        <f>IF('DASHVOLT REVENUE SCHEDULE'!D75= "Murtala Hassan", 'DASHVOLT REVENUE SCHEDULE'!G75, 0)</f>
        <v>0</v>
      </c>
      <c r="I74" s="13">
        <f>IF('DASHVOLT REVENUE SCHEDULE'!D75= "Babangida Monde", 'DASHVOLT REVENUE SCHEDULE'!G75, 0)</f>
        <v>0</v>
      </c>
      <c r="J74" s="13">
        <f>IF('DASHVOLT REVENUE SCHEDULE'!D75= "Bello Abdullahi", 'DASHVOLT REVENUE SCHEDULE'!G75, 0)</f>
        <v>0</v>
      </c>
    </row>
    <row r="75" spans="2:10" x14ac:dyDescent="0.25">
      <c r="B75" s="11">
        <f>'DASHVOLT REVENUE SCHEDULE'!B76</f>
        <v>45904</v>
      </c>
      <c r="C75" s="13">
        <f>'DASHVOLT REVENUE SCHEDULE'!C76</f>
        <v>0</v>
      </c>
      <c r="D75" s="13" t="str">
        <f>'DASHVOLT REVENUE SCHEDULE'!E76</f>
        <v>COMPLETED</v>
      </c>
      <c r="E75" s="13" t="str">
        <f>'DASHVOLT REVENUE SCHEDULE'!F76</f>
        <v>Kado</v>
      </c>
      <c r="F75" s="13">
        <f>IF('DASHVOLT REVENUE SCHEDULE'!D76= "Aminu Ibrahim", 'DASHVOLT REVENUE SCHEDULE'!G76, 0)</f>
        <v>0</v>
      </c>
      <c r="G75" s="13">
        <f>IF('DASHVOLT REVENUE SCHEDULE'!D76= "Bello Saulawa",'DASHVOLT REVENUE SCHEDULE'!G76, 0)</f>
        <v>0</v>
      </c>
      <c r="H75" s="13">
        <f>IF('DASHVOLT REVENUE SCHEDULE'!D76= "Murtala Hassan", 'DASHVOLT REVENUE SCHEDULE'!G76, 0)</f>
        <v>0</v>
      </c>
      <c r="I75" s="13">
        <f>IF('DASHVOLT REVENUE SCHEDULE'!D76= "Babangida Monde", 'DASHVOLT REVENUE SCHEDULE'!G76, 0)</f>
        <v>0</v>
      </c>
      <c r="J75" s="13">
        <f>IF('DASHVOLT REVENUE SCHEDULE'!D76= "Bello Abdullahi", 'DASHVOLT REVENUE SCHEDULE'!G76, 0)</f>
        <v>1700</v>
      </c>
    </row>
    <row r="76" spans="2:10" x14ac:dyDescent="0.25">
      <c r="B76" s="11">
        <f>'DASHVOLT REVENUE SCHEDULE'!B77</f>
        <v>45905</v>
      </c>
      <c r="C76" s="13">
        <f>'DASHVOLT REVENUE SCHEDULE'!C77</f>
        <v>0</v>
      </c>
      <c r="D76" s="13" t="str">
        <f>'DASHVOLT REVENUE SCHEDULE'!E77</f>
        <v>COMPLETED</v>
      </c>
      <c r="E76" s="13" t="str">
        <f>'DASHVOLT REVENUE SCHEDULE'!F77</f>
        <v>Gwarimpa</v>
      </c>
      <c r="F76" s="13">
        <f>IF('DASHVOLT REVENUE SCHEDULE'!D77= "Aminu Ibrahim", 'DASHVOLT REVENUE SCHEDULE'!G77, 0)</f>
        <v>0</v>
      </c>
      <c r="G76" s="13">
        <f>IF('DASHVOLT REVENUE SCHEDULE'!D77= "Bello Saulawa",'DASHVOLT REVENUE SCHEDULE'!G77, 0)</f>
        <v>0</v>
      </c>
      <c r="H76" s="13">
        <f>IF('DASHVOLT REVENUE SCHEDULE'!D77= "Murtala Hassan", 'DASHVOLT REVENUE SCHEDULE'!G77, 0)</f>
        <v>2700</v>
      </c>
      <c r="I76" s="13">
        <f>IF('DASHVOLT REVENUE SCHEDULE'!D77= "Babangida Monde", 'DASHVOLT REVENUE SCHEDULE'!G77, 0)</f>
        <v>0</v>
      </c>
      <c r="J76" s="13">
        <f>IF('DASHVOLT REVENUE SCHEDULE'!D77= "Bello Abdullahi", 'DASHVOLT REVENUE SCHEDULE'!G77, 0)</f>
        <v>0</v>
      </c>
    </row>
    <row r="77" spans="2:10" x14ac:dyDescent="0.25">
      <c r="B77" s="11">
        <f>'DASHVOLT REVENUE SCHEDULE'!B78</f>
        <v>45905</v>
      </c>
      <c r="C77" s="13">
        <f>'DASHVOLT REVENUE SCHEDULE'!C78</f>
        <v>0</v>
      </c>
      <c r="D77" s="13" t="str">
        <f>'DASHVOLT REVENUE SCHEDULE'!E78</f>
        <v>COMPLETED</v>
      </c>
      <c r="E77" s="13" t="str">
        <f>'DASHVOLT REVENUE SCHEDULE'!F78</f>
        <v>Gwarimpa</v>
      </c>
      <c r="F77" s="13">
        <f>IF('DASHVOLT REVENUE SCHEDULE'!D78= "Aminu Ibrahim", 'DASHVOLT REVENUE SCHEDULE'!G78, 0)</f>
        <v>0</v>
      </c>
      <c r="G77" s="13">
        <f>IF('DASHVOLT REVENUE SCHEDULE'!D78= "Bello Saulawa",'DASHVOLT REVENUE SCHEDULE'!G78, 0)</f>
        <v>0</v>
      </c>
      <c r="H77" s="13">
        <f>IF('DASHVOLT REVENUE SCHEDULE'!D78= "Murtala Hassan", 'DASHVOLT REVENUE SCHEDULE'!G78, 0)</f>
        <v>2700</v>
      </c>
      <c r="I77" s="13">
        <f>IF('DASHVOLT REVENUE SCHEDULE'!D78= "Babangida Monde", 'DASHVOLT REVENUE SCHEDULE'!G78, 0)</f>
        <v>0</v>
      </c>
      <c r="J77" s="13">
        <f>IF('DASHVOLT REVENUE SCHEDULE'!D78= "Bello Abdullahi", 'DASHVOLT REVENUE SCHEDULE'!G78, 0)</f>
        <v>0</v>
      </c>
    </row>
    <row r="78" spans="2:10" x14ac:dyDescent="0.25">
      <c r="B78" s="11">
        <f>'DASHVOLT REVENUE SCHEDULE'!B79</f>
        <v>45905</v>
      </c>
      <c r="C78" s="13">
        <f>'DASHVOLT REVENUE SCHEDULE'!C79</f>
        <v>0</v>
      </c>
      <c r="D78" s="13" t="str">
        <f>'DASHVOLT REVENUE SCHEDULE'!E79</f>
        <v>COMPLETED</v>
      </c>
      <c r="E78" s="13" t="str">
        <f>'DASHVOLT REVENUE SCHEDULE'!F79</f>
        <v>Katempe Extention</v>
      </c>
      <c r="F78" s="13">
        <f>IF('DASHVOLT REVENUE SCHEDULE'!D79= "Aminu Ibrahim", 'DASHVOLT REVENUE SCHEDULE'!G79, 0)</f>
        <v>0</v>
      </c>
      <c r="G78" s="13">
        <f>IF('DASHVOLT REVENUE SCHEDULE'!D79= "Bello Saulawa",'DASHVOLT REVENUE SCHEDULE'!G79, 0)</f>
        <v>0</v>
      </c>
      <c r="H78" s="13">
        <f>IF('DASHVOLT REVENUE SCHEDULE'!D79= "Murtala Hassan", 'DASHVOLT REVENUE SCHEDULE'!G79, 0)</f>
        <v>2700</v>
      </c>
      <c r="I78" s="13">
        <f>IF('DASHVOLT REVENUE SCHEDULE'!D79= "Babangida Monde", 'DASHVOLT REVENUE SCHEDULE'!G79, 0)</f>
        <v>0</v>
      </c>
      <c r="J78" s="13">
        <f>IF('DASHVOLT REVENUE SCHEDULE'!D79= "Bello Abdullahi", 'DASHVOLT REVENUE SCHEDULE'!G79, 0)</f>
        <v>0</v>
      </c>
    </row>
    <row r="79" spans="2:10" x14ac:dyDescent="0.25">
      <c r="B79" s="11">
        <f>'DASHVOLT REVENUE SCHEDULE'!B80</f>
        <v>45905</v>
      </c>
      <c r="C79" s="13">
        <f>'DASHVOLT REVENUE SCHEDULE'!C80</f>
        <v>0</v>
      </c>
      <c r="D79" s="13" t="str">
        <f>'DASHVOLT REVENUE SCHEDULE'!E80</f>
        <v>COMPLETED</v>
      </c>
      <c r="E79" s="13" t="str">
        <f>'DASHVOLT REVENUE SCHEDULE'!F80</f>
        <v>Apo</v>
      </c>
      <c r="F79" s="13">
        <f>IF('DASHVOLT REVENUE SCHEDULE'!D80= "Aminu Ibrahim", 'DASHVOLT REVENUE SCHEDULE'!G80, 0)</f>
        <v>0</v>
      </c>
      <c r="G79" s="13">
        <f>IF('DASHVOLT REVENUE SCHEDULE'!D80= "Bello Saulawa",'DASHVOLT REVENUE SCHEDULE'!G80, 0)</f>
        <v>0</v>
      </c>
      <c r="H79" s="13">
        <f>IF('DASHVOLT REVENUE SCHEDULE'!D80= "Murtala Hassan", 'DASHVOLT REVENUE SCHEDULE'!G80, 0)</f>
        <v>0</v>
      </c>
      <c r="I79" s="13">
        <f>IF('DASHVOLT REVENUE SCHEDULE'!D80= "Babangida Monde", 'DASHVOLT REVENUE SCHEDULE'!G80, 0)</f>
        <v>0</v>
      </c>
      <c r="J79" s="13">
        <f>IF('DASHVOLT REVENUE SCHEDULE'!D80= "Bello Abdullahi", 'DASHVOLT REVENUE SCHEDULE'!G80, 0)</f>
        <v>3200</v>
      </c>
    </row>
    <row r="80" spans="2:10" x14ac:dyDescent="0.25">
      <c r="B80" s="11">
        <f>'DASHVOLT REVENUE SCHEDULE'!B81</f>
        <v>45905</v>
      </c>
      <c r="C80" s="13">
        <f>'DASHVOLT REVENUE SCHEDULE'!C81</f>
        <v>0</v>
      </c>
      <c r="D80" s="13" t="str">
        <f>'DASHVOLT REVENUE SCHEDULE'!E81</f>
        <v>COMPLETED</v>
      </c>
      <c r="E80" s="13" t="str">
        <f>'DASHVOLT REVENUE SCHEDULE'!F81</f>
        <v>Kado</v>
      </c>
      <c r="F80" s="13">
        <f>IF('DASHVOLT REVENUE SCHEDULE'!D81= "Aminu Ibrahim", 'DASHVOLT REVENUE SCHEDULE'!G81, 0)</f>
        <v>0</v>
      </c>
      <c r="G80" s="13">
        <f>IF('DASHVOLT REVENUE SCHEDULE'!D81= "Bello Saulawa",'DASHVOLT REVENUE SCHEDULE'!G81, 0)</f>
        <v>1700</v>
      </c>
      <c r="H80" s="13">
        <f>IF('DASHVOLT REVENUE SCHEDULE'!D81= "Murtala Hassan", 'DASHVOLT REVENUE SCHEDULE'!G81, 0)</f>
        <v>0</v>
      </c>
      <c r="I80" s="13">
        <f>IF('DASHVOLT REVENUE SCHEDULE'!D81= "Babangida Monde", 'DASHVOLT REVENUE SCHEDULE'!G81, 0)</f>
        <v>0</v>
      </c>
      <c r="J80" s="13">
        <f>IF('DASHVOLT REVENUE SCHEDULE'!D81= "Bello Abdullahi", 'DASHVOLT REVENUE SCHEDULE'!G81, 0)</f>
        <v>0</v>
      </c>
    </row>
    <row r="81" spans="2:10" x14ac:dyDescent="0.25">
      <c r="B81" s="11">
        <f>'DASHVOLT REVENUE SCHEDULE'!B82</f>
        <v>45905</v>
      </c>
      <c r="C81" s="13">
        <f>'DASHVOLT REVENUE SCHEDULE'!C82</f>
        <v>0</v>
      </c>
      <c r="D81" s="13" t="str">
        <f>'DASHVOLT REVENUE SCHEDULE'!E82</f>
        <v>COMPLETED</v>
      </c>
      <c r="E81" s="13" t="str">
        <f>'DASHVOLT REVENUE SCHEDULE'!F82</f>
        <v>Mbora</v>
      </c>
      <c r="F81" s="13">
        <f>IF('DASHVOLT REVENUE SCHEDULE'!D82= "Aminu Ibrahim", 'DASHVOLT REVENUE SCHEDULE'!G82, 0)</f>
        <v>0</v>
      </c>
      <c r="G81" s="13">
        <f>IF('DASHVOLT REVENUE SCHEDULE'!D82= "Bello Saulawa",'DASHVOLT REVENUE SCHEDULE'!G82, 0)</f>
        <v>2700</v>
      </c>
      <c r="H81" s="13">
        <f>IF('DASHVOLT REVENUE SCHEDULE'!D82= "Murtala Hassan", 'DASHVOLT REVENUE SCHEDULE'!G82, 0)</f>
        <v>0</v>
      </c>
      <c r="I81" s="13">
        <f>IF('DASHVOLT REVENUE SCHEDULE'!D82= "Babangida Monde", 'DASHVOLT REVENUE SCHEDULE'!G82, 0)</f>
        <v>0</v>
      </c>
      <c r="J81" s="13">
        <f>IF('DASHVOLT REVENUE SCHEDULE'!D82= "Bello Abdullahi", 'DASHVOLT REVENUE SCHEDULE'!G82, 0)</f>
        <v>0</v>
      </c>
    </row>
    <row r="82" spans="2:10" x14ac:dyDescent="0.25">
      <c r="B82" s="11">
        <f>'DASHVOLT REVENUE SCHEDULE'!B83</f>
        <v>45905</v>
      </c>
      <c r="C82" s="13">
        <f>'DASHVOLT REVENUE SCHEDULE'!C83</f>
        <v>0</v>
      </c>
      <c r="D82" s="13" t="str">
        <f>'DASHVOLT REVENUE SCHEDULE'!E83</f>
        <v>COMPLETED</v>
      </c>
      <c r="E82" s="13" t="str">
        <f>'DASHVOLT REVENUE SCHEDULE'!F83</f>
        <v>mabushi</v>
      </c>
      <c r="F82" s="13">
        <f>IF('DASHVOLT REVENUE SCHEDULE'!D83= "Aminu Ibrahim", 'DASHVOLT REVENUE SCHEDULE'!G83, 0)</f>
        <v>0</v>
      </c>
      <c r="G82" s="13">
        <f>IF('DASHVOLT REVENUE SCHEDULE'!D83= "Bello Saulawa",'DASHVOLT REVENUE SCHEDULE'!G83, 0)</f>
        <v>2200</v>
      </c>
      <c r="H82" s="13">
        <f>IF('DASHVOLT REVENUE SCHEDULE'!D83= "Murtala Hassan", 'DASHVOLT REVENUE SCHEDULE'!G83, 0)</f>
        <v>0</v>
      </c>
      <c r="I82" s="13">
        <f>IF('DASHVOLT REVENUE SCHEDULE'!D83= "Babangida Monde", 'DASHVOLT REVENUE SCHEDULE'!G83, 0)</f>
        <v>0</v>
      </c>
      <c r="J82" s="13">
        <f>IF('DASHVOLT REVENUE SCHEDULE'!D83= "Bello Abdullahi", 'DASHVOLT REVENUE SCHEDULE'!G83, 0)</f>
        <v>0</v>
      </c>
    </row>
    <row r="83" spans="2:10" x14ac:dyDescent="0.25">
      <c r="B83" s="11">
        <f>'DASHVOLT REVENUE SCHEDULE'!B84</f>
        <v>45905</v>
      </c>
      <c r="C83" s="13">
        <f>'DASHVOLT REVENUE SCHEDULE'!C84</f>
        <v>0</v>
      </c>
      <c r="D83" s="13" t="str">
        <f>'DASHVOLT REVENUE SCHEDULE'!E84</f>
        <v>COMPLETED</v>
      </c>
      <c r="E83" s="13" t="str">
        <f>'DASHVOLT REVENUE SCHEDULE'!F84</f>
        <v>Life camp</v>
      </c>
      <c r="F83" s="13">
        <f>IF('DASHVOLT REVENUE SCHEDULE'!D84= "Aminu Ibrahim", 'DASHVOLT REVENUE SCHEDULE'!G84, 0)</f>
        <v>0</v>
      </c>
      <c r="G83" s="13">
        <f>IF('DASHVOLT REVENUE SCHEDULE'!D84= "Bello Saulawa",'DASHVOLT REVENUE SCHEDULE'!G84, 0)</f>
        <v>2200</v>
      </c>
      <c r="H83" s="13">
        <f>IF('DASHVOLT REVENUE SCHEDULE'!D84= "Murtala Hassan", 'DASHVOLT REVENUE SCHEDULE'!G84, 0)</f>
        <v>0</v>
      </c>
      <c r="I83" s="13">
        <f>IF('DASHVOLT REVENUE SCHEDULE'!D84= "Babangida Monde", 'DASHVOLT REVENUE SCHEDULE'!G84, 0)</f>
        <v>0</v>
      </c>
      <c r="J83" s="13">
        <f>IF('DASHVOLT REVENUE SCHEDULE'!D84= "Bello Abdullahi", 'DASHVOLT REVENUE SCHEDULE'!G84, 0)</f>
        <v>0</v>
      </c>
    </row>
    <row r="84" spans="2:10" x14ac:dyDescent="0.25">
      <c r="B84" s="11">
        <f>'DASHVOLT REVENUE SCHEDULE'!B85</f>
        <v>45905</v>
      </c>
      <c r="C84" s="13">
        <f>'DASHVOLT REVENUE SCHEDULE'!C85</f>
        <v>0</v>
      </c>
      <c r="D84" s="13" t="str">
        <f>'DASHVOLT REVENUE SCHEDULE'!E85</f>
        <v>COMPLETED</v>
      </c>
      <c r="E84" s="13" t="str">
        <f>'DASHVOLT REVENUE SCHEDULE'!F85</f>
        <v>idu</v>
      </c>
      <c r="F84" s="13">
        <f>IF('DASHVOLT REVENUE SCHEDULE'!D85= "Aminu Ibrahim", 'DASHVOLT REVENUE SCHEDULE'!G85, 0)</f>
        <v>0</v>
      </c>
      <c r="G84" s="13">
        <f>IF('DASHVOLT REVENUE SCHEDULE'!D85= "Bello Saulawa",'DASHVOLT REVENUE SCHEDULE'!G85, 0)</f>
        <v>3200</v>
      </c>
      <c r="H84" s="13">
        <f>IF('DASHVOLT REVENUE SCHEDULE'!D85= "Murtala Hassan", 'DASHVOLT REVENUE SCHEDULE'!G85, 0)</f>
        <v>0</v>
      </c>
      <c r="I84" s="13">
        <f>IF('DASHVOLT REVENUE SCHEDULE'!D85= "Babangida Monde", 'DASHVOLT REVENUE SCHEDULE'!G85, 0)</f>
        <v>0</v>
      </c>
      <c r="J84" s="13">
        <f>IF('DASHVOLT REVENUE SCHEDULE'!D85= "Bello Abdullahi", 'DASHVOLT REVENUE SCHEDULE'!G85, 0)</f>
        <v>0</v>
      </c>
    </row>
    <row r="85" spans="2:10" x14ac:dyDescent="0.25">
      <c r="B85" s="11">
        <f>'DASHVOLT REVENUE SCHEDULE'!B86</f>
        <v>45906</v>
      </c>
      <c r="C85" s="13">
        <f>'DASHVOLT REVENUE SCHEDULE'!C86</f>
        <v>0</v>
      </c>
      <c r="D85" s="13" t="str">
        <f>'DASHVOLT REVENUE SCHEDULE'!E86</f>
        <v>COMPLETED</v>
      </c>
      <c r="E85" s="13" t="str">
        <f>'DASHVOLT REVENUE SCHEDULE'!F86</f>
        <v>jabi</v>
      </c>
      <c r="F85" s="13">
        <f>IF('DASHVOLT REVENUE SCHEDULE'!D86= "Aminu Ibrahim", 'DASHVOLT REVENUE SCHEDULE'!G86, 0)</f>
        <v>0</v>
      </c>
      <c r="G85" s="13">
        <f>IF('DASHVOLT REVENUE SCHEDULE'!D86= "Bello Saulawa",'DASHVOLT REVENUE SCHEDULE'!G86, 0)</f>
        <v>2500</v>
      </c>
      <c r="H85" s="13">
        <f>IF('DASHVOLT REVENUE SCHEDULE'!D86= "Murtala Hassan", 'DASHVOLT REVENUE SCHEDULE'!G86, 0)</f>
        <v>0</v>
      </c>
      <c r="I85" s="13">
        <f>IF('DASHVOLT REVENUE SCHEDULE'!D86= "Babangida Monde", 'DASHVOLT REVENUE SCHEDULE'!G86, 0)</f>
        <v>0</v>
      </c>
      <c r="J85" s="13">
        <f>IF('DASHVOLT REVENUE SCHEDULE'!D86= "Bello Abdullahi", 'DASHVOLT REVENUE SCHEDULE'!G86, 0)</f>
        <v>0</v>
      </c>
    </row>
    <row r="86" spans="2:10" x14ac:dyDescent="0.25">
      <c r="B86" s="11">
        <f>'DASHVOLT REVENUE SCHEDULE'!B87</f>
        <v>45906</v>
      </c>
      <c r="C86" s="13">
        <f>'DASHVOLT REVENUE SCHEDULE'!C87</f>
        <v>0</v>
      </c>
      <c r="D86" s="13" t="str">
        <f>'DASHVOLT REVENUE SCHEDULE'!E87</f>
        <v>COMPLETED</v>
      </c>
      <c r="E86" s="13" t="str">
        <f>'DASHVOLT REVENUE SCHEDULE'!F87</f>
        <v>Gwarimpa</v>
      </c>
      <c r="F86" s="13">
        <f>IF('DASHVOLT REVENUE SCHEDULE'!D87= "Aminu Ibrahim", 'DASHVOLT REVENUE SCHEDULE'!G87, 0)</f>
        <v>0</v>
      </c>
      <c r="G86" s="13">
        <f>IF('DASHVOLT REVENUE SCHEDULE'!D87= "Bello Saulawa",'DASHVOLT REVENUE SCHEDULE'!G87, 0)</f>
        <v>2700</v>
      </c>
      <c r="H86" s="13">
        <f>IF('DASHVOLT REVENUE SCHEDULE'!D87= "Murtala Hassan", 'DASHVOLT REVENUE SCHEDULE'!G87, 0)</f>
        <v>0</v>
      </c>
      <c r="I86" s="13">
        <f>IF('DASHVOLT REVENUE SCHEDULE'!D87= "Babangida Monde", 'DASHVOLT REVENUE SCHEDULE'!G87, 0)</f>
        <v>0</v>
      </c>
      <c r="J86" s="13">
        <f>IF('DASHVOLT REVENUE SCHEDULE'!D87= "Bello Abdullahi", 'DASHVOLT REVENUE SCHEDULE'!G87, 0)</f>
        <v>0</v>
      </c>
    </row>
    <row r="87" spans="2:10" x14ac:dyDescent="0.25">
      <c r="B87" s="11">
        <f>'DASHVOLT REVENUE SCHEDULE'!B88</f>
        <v>45906</v>
      </c>
      <c r="C87" s="13">
        <f>'DASHVOLT REVENUE SCHEDULE'!C88</f>
        <v>0</v>
      </c>
      <c r="D87" s="13" t="str">
        <f>'DASHVOLT REVENUE SCHEDULE'!E88</f>
        <v>COMPLETED</v>
      </c>
      <c r="E87" s="13" t="str">
        <f>'DASHVOLT REVENUE SCHEDULE'!F88</f>
        <v>Life camp</v>
      </c>
      <c r="F87" s="13">
        <f>IF('DASHVOLT REVENUE SCHEDULE'!D88= "Aminu Ibrahim", 'DASHVOLT REVENUE SCHEDULE'!G88, 0)</f>
        <v>0</v>
      </c>
      <c r="G87" s="13">
        <f>IF('DASHVOLT REVENUE SCHEDULE'!D88= "Bello Saulawa",'DASHVOLT REVENUE SCHEDULE'!G88, 0)</f>
        <v>2200</v>
      </c>
      <c r="H87" s="13">
        <f>IF('DASHVOLT REVENUE SCHEDULE'!D88= "Murtala Hassan", 'DASHVOLT REVENUE SCHEDULE'!G88, 0)</f>
        <v>0</v>
      </c>
      <c r="I87" s="13">
        <f>IF('DASHVOLT REVENUE SCHEDULE'!D88= "Babangida Monde", 'DASHVOLT REVENUE SCHEDULE'!G88, 0)</f>
        <v>0</v>
      </c>
      <c r="J87" s="13">
        <f>IF('DASHVOLT REVENUE SCHEDULE'!D88= "Bello Abdullahi", 'DASHVOLT REVENUE SCHEDULE'!G88, 0)</f>
        <v>0</v>
      </c>
    </row>
    <row r="88" spans="2:10" x14ac:dyDescent="0.25">
      <c r="B88" s="11">
        <f>'DASHVOLT REVENUE SCHEDULE'!B89</f>
        <v>45906</v>
      </c>
      <c r="C88" s="13">
        <f>'DASHVOLT REVENUE SCHEDULE'!C89</f>
        <v>0</v>
      </c>
      <c r="D88" s="13" t="str">
        <f>'DASHVOLT REVENUE SCHEDULE'!E89</f>
        <v>COMPLETED</v>
      </c>
      <c r="E88" s="13" t="str">
        <f>'DASHVOLT REVENUE SCHEDULE'!F89</f>
        <v>Kado</v>
      </c>
      <c r="F88" s="13">
        <f>IF('DASHVOLT REVENUE SCHEDULE'!D89= "Aminu Ibrahim", 'DASHVOLT REVENUE SCHEDULE'!G89, 0)</f>
        <v>0</v>
      </c>
      <c r="G88" s="13">
        <f>IF('DASHVOLT REVENUE SCHEDULE'!D89= "Bello Saulawa",'DASHVOLT REVENUE SCHEDULE'!G89, 0)</f>
        <v>1700</v>
      </c>
      <c r="H88" s="13">
        <f>IF('DASHVOLT REVENUE SCHEDULE'!D89= "Murtala Hassan", 'DASHVOLT REVENUE SCHEDULE'!G89, 0)</f>
        <v>0</v>
      </c>
      <c r="I88" s="13">
        <f>IF('DASHVOLT REVENUE SCHEDULE'!D89= "Babangida Monde", 'DASHVOLT REVENUE SCHEDULE'!G89, 0)</f>
        <v>0</v>
      </c>
      <c r="J88" s="13">
        <f>IF('DASHVOLT REVENUE SCHEDULE'!D89= "Bello Abdullahi", 'DASHVOLT REVENUE SCHEDULE'!G89, 0)</f>
        <v>0</v>
      </c>
    </row>
    <row r="89" spans="2:10" x14ac:dyDescent="0.25">
      <c r="B89" s="11">
        <f>'DASHVOLT REVENUE SCHEDULE'!B90</f>
        <v>45906</v>
      </c>
      <c r="C89" s="13">
        <f>'DASHVOLT REVENUE SCHEDULE'!C90</f>
        <v>0</v>
      </c>
      <c r="D89" s="13" t="str">
        <f>'DASHVOLT REVENUE SCHEDULE'!E90</f>
        <v>COMPLETED</v>
      </c>
      <c r="E89" s="13" t="str">
        <f>'DASHVOLT REVENUE SCHEDULE'!F90</f>
        <v>Apo</v>
      </c>
      <c r="F89" s="13">
        <f>IF('DASHVOLT REVENUE SCHEDULE'!D90= "Aminu Ibrahim", 'DASHVOLT REVENUE SCHEDULE'!G90, 0)</f>
        <v>0</v>
      </c>
      <c r="G89" s="13">
        <f>IF('DASHVOLT REVENUE SCHEDULE'!D90= "Bello Saulawa",'DASHVOLT REVENUE SCHEDULE'!G90, 0)</f>
        <v>3200</v>
      </c>
      <c r="H89" s="13">
        <f>IF('DASHVOLT REVENUE SCHEDULE'!D90= "Murtala Hassan", 'DASHVOLT REVENUE SCHEDULE'!G90, 0)</f>
        <v>0</v>
      </c>
      <c r="I89" s="13">
        <f>IF('DASHVOLT REVENUE SCHEDULE'!D90= "Babangida Monde", 'DASHVOLT REVENUE SCHEDULE'!G90, 0)</f>
        <v>0</v>
      </c>
      <c r="J89" s="13">
        <f>IF('DASHVOLT REVENUE SCHEDULE'!D90= "Bello Abdullahi", 'DASHVOLT REVENUE SCHEDULE'!G90, 0)</f>
        <v>0</v>
      </c>
    </row>
    <row r="90" spans="2:10" x14ac:dyDescent="0.25">
      <c r="B90" s="11">
        <f>'DASHVOLT REVENUE SCHEDULE'!B91</f>
        <v>45906</v>
      </c>
      <c r="C90" s="13">
        <f>'DASHVOLT REVENUE SCHEDULE'!C91</f>
        <v>0</v>
      </c>
      <c r="D90" s="13" t="str">
        <f>'DASHVOLT REVENUE SCHEDULE'!E91</f>
        <v>COMPLETED</v>
      </c>
      <c r="E90" s="13" t="str">
        <f>'DASHVOLT REVENUE SCHEDULE'!F91</f>
        <v>Garki</v>
      </c>
      <c r="F90" s="13">
        <f>IF('DASHVOLT REVENUE SCHEDULE'!D91= "Aminu Ibrahim", 'DASHVOLT REVENUE SCHEDULE'!G91, 0)</f>
        <v>0</v>
      </c>
      <c r="G90" s="13">
        <f>IF('DASHVOLT REVENUE SCHEDULE'!D91= "Bello Saulawa",'DASHVOLT REVENUE SCHEDULE'!G91, 0)</f>
        <v>3000</v>
      </c>
      <c r="H90" s="13">
        <f>IF('DASHVOLT REVENUE SCHEDULE'!D91= "Murtala Hassan", 'DASHVOLT REVENUE SCHEDULE'!G91, 0)</f>
        <v>0</v>
      </c>
      <c r="I90" s="13">
        <f>IF('DASHVOLT REVENUE SCHEDULE'!D91= "Babangida Monde", 'DASHVOLT REVENUE SCHEDULE'!G91, 0)</f>
        <v>0</v>
      </c>
      <c r="J90" s="13">
        <f>IF('DASHVOLT REVENUE SCHEDULE'!D91= "Bello Abdullahi", 'DASHVOLT REVENUE SCHEDULE'!G91, 0)</f>
        <v>0</v>
      </c>
    </row>
    <row r="91" spans="2:10" x14ac:dyDescent="0.25">
      <c r="B91" s="11">
        <f>'DASHVOLT REVENUE SCHEDULE'!B92</f>
        <v>45906</v>
      </c>
      <c r="C91" s="13">
        <f>'DASHVOLT REVENUE SCHEDULE'!C92</f>
        <v>0</v>
      </c>
      <c r="D91" s="13" t="str">
        <f>'DASHVOLT REVENUE SCHEDULE'!E92</f>
        <v>COMPLETED</v>
      </c>
      <c r="E91" s="13" t="str">
        <f>'DASHVOLT REVENUE SCHEDULE'!F92</f>
        <v>Games Village</v>
      </c>
      <c r="F91" s="13">
        <f>IF('DASHVOLT REVENUE SCHEDULE'!D92= "Aminu Ibrahim", 'DASHVOLT REVENUE SCHEDULE'!G92, 0)</f>
        <v>0</v>
      </c>
      <c r="G91" s="13">
        <f>IF('DASHVOLT REVENUE SCHEDULE'!D92= "Bello Saulawa",'DASHVOLT REVENUE SCHEDULE'!G92, 0)</f>
        <v>2900</v>
      </c>
      <c r="H91" s="13">
        <f>IF('DASHVOLT REVENUE SCHEDULE'!D92= "Murtala Hassan", 'DASHVOLT REVENUE SCHEDULE'!G92, 0)</f>
        <v>0</v>
      </c>
      <c r="I91" s="13">
        <f>IF('DASHVOLT REVENUE SCHEDULE'!D92= "Babangida Monde", 'DASHVOLT REVENUE SCHEDULE'!G92, 0)</f>
        <v>0</v>
      </c>
      <c r="J91" s="13">
        <f>IF('DASHVOLT REVENUE SCHEDULE'!D92= "Bello Abdullahi", 'DASHVOLT REVENUE SCHEDULE'!G92, 0)</f>
        <v>0</v>
      </c>
    </row>
    <row r="92" spans="2:10" x14ac:dyDescent="0.25">
      <c r="B92" s="11">
        <f>'DASHVOLT REVENUE SCHEDULE'!B93</f>
        <v>45906</v>
      </c>
      <c r="C92" s="13">
        <f>'DASHVOLT REVENUE SCHEDULE'!C93</f>
        <v>0</v>
      </c>
      <c r="D92" s="13" t="str">
        <f>'DASHVOLT REVENUE SCHEDULE'!E93</f>
        <v>COMPLETED</v>
      </c>
      <c r="E92" s="13" t="str">
        <f>'DASHVOLT REVENUE SCHEDULE'!F93</f>
        <v>Gwarimpa</v>
      </c>
      <c r="F92" s="13">
        <f>IF('DASHVOLT REVENUE SCHEDULE'!D93= "Aminu Ibrahim", 'DASHVOLT REVENUE SCHEDULE'!G93, 0)</f>
        <v>0</v>
      </c>
      <c r="G92" s="13">
        <f>IF('DASHVOLT REVENUE SCHEDULE'!D93= "Bello Saulawa",'DASHVOLT REVENUE SCHEDULE'!G93, 0)</f>
        <v>0</v>
      </c>
      <c r="H92" s="13">
        <f>IF('DASHVOLT REVENUE SCHEDULE'!D93= "Murtala Hassan", 'DASHVOLT REVENUE SCHEDULE'!G93, 0)</f>
        <v>0</v>
      </c>
      <c r="I92" s="13">
        <f>IF('DASHVOLT REVENUE SCHEDULE'!D93= "Babangida Monde", 'DASHVOLT REVENUE SCHEDULE'!G93, 0)</f>
        <v>0</v>
      </c>
      <c r="J92" s="13">
        <f>IF('DASHVOLT REVENUE SCHEDULE'!D93= "Bello Abdullahi", 'DASHVOLT REVENUE SCHEDULE'!G93, 0)</f>
        <v>2700</v>
      </c>
    </row>
    <row r="93" spans="2:10" x14ac:dyDescent="0.25">
      <c r="B93" s="11">
        <f>'DASHVOLT REVENUE SCHEDULE'!B94</f>
        <v>45906</v>
      </c>
      <c r="C93" s="13">
        <f>'DASHVOLT REVENUE SCHEDULE'!C94</f>
        <v>0</v>
      </c>
      <c r="D93" s="13" t="str">
        <f>'DASHVOLT REVENUE SCHEDULE'!E94</f>
        <v>COMPLETED</v>
      </c>
      <c r="E93" s="13" t="str">
        <f>'DASHVOLT REVENUE SCHEDULE'!F94</f>
        <v>Asokoro</v>
      </c>
      <c r="F93" s="13">
        <f>IF('DASHVOLT REVENUE SCHEDULE'!D94= "Aminu Ibrahim", 'DASHVOLT REVENUE SCHEDULE'!G94, 0)</f>
        <v>0</v>
      </c>
      <c r="G93" s="13">
        <f>IF('DASHVOLT REVENUE SCHEDULE'!D94= "Bello Saulawa",'DASHVOLT REVENUE SCHEDULE'!G94, 0)</f>
        <v>0</v>
      </c>
      <c r="H93" s="13">
        <f>IF('DASHVOLT REVENUE SCHEDULE'!D94= "Murtala Hassan", 'DASHVOLT REVENUE SCHEDULE'!G94, 0)</f>
        <v>0</v>
      </c>
      <c r="I93" s="13">
        <f>IF('DASHVOLT REVENUE SCHEDULE'!D94= "Babangida Monde", 'DASHVOLT REVENUE SCHEDULE'!G94, 0)</f>
        <v>0</v>
      </c>
      <c r="J93" s="13">
        <f>IF('DASHVOLT REVENUE SCHEDULE'!D94= "Bello Abdullahi", 'DASHVOLT REVENUE SCHEDULE'!G94, 0)</f>
        <v>3200</v>
      </c>
    </row>
    <row r="94" spans="2:10" x14ac:dyDescent="0.25">
      <c r="B94" s="11">
        <f>'DASHVOLT REVENUE SCHEDULE'!B95</f>
        <v>45906</v>
      </c>
      <c r="C94" s="13">
        <f>'DASHVOLT REVENUE SCHEDULE'!C95</f>
        <v>0</v>
      </c>
      <c r="D94" s="13" t="str">
        <f>'DASHVOLT REVENUE SCHEDULE'!E95</f>
        <v>COMPLETED</v>
      </c>
      <c r="E94" s="13" t="str">
        <f>'DASHVOLT REVENUE SCHEDULE'!F95</f>
        <v>Maitama</v>
      </c>
      <c r="F94" s="13">
        <f>IF('DASHVOLT REVENUE SCHEDULE'!D95= "Aminu Ibrahim", 'DASHVOLT REVENUE SCHEDULE'!G95, 0)</f>
        <v>0</v>
      </c>
      <c r="G94" s="13">
        <f>IF('DASHVOLT REVENUE SCHEDULE'!D95= "Bello Saulawa",'DASHVOLT REVENUE SCHEDULE'!G95, 0)</f>
        <v>0</v>
      </c>
      <c r="H94" s="13">
        <f>IF('DASHVOLT REVENUE SCHEDULE'!D95= "Murtala Hassan", 'DASHVOLT REVENUE SCHEDULE'!G95, 0)</f>
        <v>0</v>
      </c>
      <c r="I94" s="13">
        <f>IF('DASHVOLT REVENUE SCHEDULE'!D95= "Babangida Monde", 'DASHVOLT REVENUE SCHEDULE'!G95, 0)</f>
        <v>0</v>
      </c>
      <c r="J94" s="13">
        <f>IF('DASHVOLT REVENUE SCHEDULE'!D95= "Bello Abdullahi", 'DASHVOLT REVENUE SCHEDULE'!G95, 0)</f>
        <v>2500</v>
      </c>
    </row>
    <row r="95" spans="2:10" x14ac:dyDescent="0.25">
      <c r="B95" s="11">
        <f>'DASHVOLT REVENUE SCHEDULE'!B96</f>
        <v>45906</v>
      </c>
      <c r="C95" s="13">
        <f>'DASHVOLT REVENUE SCHEDULE'!C96</f>
        <v>0</v>
      </c>
      <c r="D95" s="13" t="str">
        <f>'DASHVOLT REVENUE SCHEDULE'!E96</f>
        <v>COMPLETED</v>
      </c>
      <c r="E95" s="13" t="str">
        <f>'DASHVOLT REVENUE SCHEDULE'!F96</f>
        <v>wuse zone 5</v>
      </c>
      <c r="F95" s="13">
        <f>IF('DASHVOLT REVENUE SCHEDULE'!D96= "Aminu Ibrahim", 'DASHVOLT REVENUE SCHEDULE'!G96, 0)</f>
        <v>0</v>
      </c>
      <c r="G95" s="13">
        <f>IF('DASHVOLT REVENUE SCHEDULE'!D96= "Bello Saulawa",'DASHVOLT REVENUE SCHEDULE'!G96, 0)</f>
        <v>0</v>
      </c>
      <c r="H95" s="13">
        <f>IF('DASHVOLT REVENUE SCHEDULE'!D96= "Murtala Hassan", 'DASHVOLT REVENUE SCHEDULE'!G96, 0)</f>
        <v>0</v>
      </c>
      <c r="I95" s="13">
        <f>IF('DASHVOLT REVENUE SCHEDULE'!D96= "Babangida Monde", 'DASHVOLT REVENUE SCHEDULE'!G96, 0)</f>
        <v>0</v>
      </c>
      <c r="J95" s="13">
        <f>IF('DASHVOLT REVENUE SCHEDULE'!D96= "Bello Abdullahi", 'DASHVOLT REVENUE SCHEDULE'!G96, 0)</f>
        <v>2500</v>
      </c>
    </row>
    <row r="96" spans="2:10" x14ac:dyDescent="0.25">
      <c r="B96" s="11">
        <f>'DASHVOLT REVENUE SCHEDULE'!B97</f>
        <v>45906</v>
      </c>
      <c r="C96" s="13">
        <f>'DASHVOLT REVENUE SCHEDULE'!C97</f>
        <v>0</v>
      </c>
      <c r="D96" s="13" t="str">
        <f>'DASHVOLT REVENUE SCHEDULE'!E97</f>
        <v>COMPLETED</v>
      </c>
      <c r="E96" s="13" t="str">
        <f>'DASHVOLT REVENUE SCHEDULE'!F97</f>
        <v>Utako</v>
      </c>
      <c r="F96" s="13">
        <f>IF('DASHVOLT REVENUE SCHEDULE'!D97= "Aminu Ibrahim", 'DASHVOLT REVENUE SCHEDULE'!G97, 0)</f>
        <v>0</v>
      </c>
      <c r="G96" s="13">
        <f>IF('DASHVOLT REVENUE SCHEDULE'!D97= "Bello Saulawa",'DASHVOLT REVENUE SCHEDULE'!G97, 0)</f>
        <v>0</v>
      </c>
      <c r="H96" s="13">
        <f>IF('DASHVOLT REVENUE SCHEDULE'!D97= "Murtala Hassan", 'DASHVOLT REVENUE SCHEDULE'!G97, 0)</f>
        <v>0</v>
      </c>
      <c r="I96" s="13">
        <f>IF('DASHVOLT REVENUE SCHEDULE'!D97= "Babangida Monde", 'DASHVOLT REVENUE SCHEDULE'!G97, 0)</f>
        <v>0</v>
      </c>
      <c r="J96" s="13">
        <f>IF('DASHVOLT REVENUE SCHEDULE'!D97= "Bello Abdullahi", 'DASHVOLT REVENUE SCHEDULE'!G97, 0)</f>
        <v>2500</v>
      </c>
    </row>
    <row r="97" spans="2:11" ht="14" thickBot="1" x14ac:dyDescent="0.3">
      <c r="B97" s="11">
        <f>'DASHVOLT REVENUE SCHEDULE'!B98</f>
        <v>0</v>
      </c>
      <c r="C97" s="13">
        <f>'DASHVOLT REVENUE SCHEDULE'!C98</f>
        <v>0</v>
      </c>
      <c r="D97" s="13">
        <f>'DASHVOLT REVENUE SCHEDULE'!E98</f>
        <v>0</v>
      </c>
      <c r="E97" s="13">
        <f>'DASHVOLT REVENUE SCHEDULE'!F98</f>
        <v>0</v>
      </c>
      <c r="F97" s="13">
        <f>IF('DASHVOLT REVENUE SCHEDULE'!D98= "Aminu Ibrahim", 'DASHVOLT REVENUE SCHEDULE'!G98, 0)</f>
        <v>0</v>
      </c>
      <c r="G97" s="13">
        <f>IF('DASHVOLT REVENUE SCHEDULE'!D98= "Bello Saulawa",'DASHVOLT REVENUE SCHEDULE'!G98, 0)</f>
        <v>0</v>
      </c>
      <c r="H97" s="13">
        <f>IF('DASHVOLT REVENUE SCHEDULE'!D98= "Murtala Hassan", 'DASHVOLT REVENUE SCHEDULE'!G98, 0)</f>
        <v>0</v>
      </c>
      <c r="I97" s="13">
        <f>IF('DASHVOLT REVENUE SCHEDULE'!D98= "Babangida Monde", 'DASHVOLT REVENUE SCHEDULE'!G98, 0)</f>
        <v>0</v>
      </c>
      <c r="J97" s="13">
        <f>IF('DASHVOLT REVENUE SCHEDULE'!D98= "Bello Abdullahi", 'DASHVOLT REVENUE SCHEDULE'!G98, 0)</f>
        <v>0</v>
      </c>
    </row>
    <row r="98" spans="2:11" s="27" customFormat="1" ht="15.5" thickBot="1" x14ac:dyDescent="0.35">
      <c r="B98" s="36" t="s">
        <v>15</v>
      </c>
      <c r="C98" s="37"/>
      <c r="D98" s="37"/>
      <c r="E98" s="37"/>
      <c r="F98" s="25">
        <f>SUM(F6:F97)</f>
        <v>0</v>
      </c>
      <c r="G98" s="25">
        <f>SUM(G6:G97)</f>
        <v>110300</v>
      </c>
      <c r="H98" s="25">
        <f>SUM(H6:H97)</f>
        <v>49000</v>
      </c>
      <c r="I98" s="25">
        <f>SUM(I6:I97)</f>
        <v>0</v>
      </c>
      <c r="J98" s="26">
        <f>SUM(J6:J97)</f>
        <v>73500</v>
      </c>
      <c r="K98" s="1"/>
    </row>
  </sheetData>
  <mergeCells count="2">
    <mergeCell ref="B3:J3"/>
    <mergeCell ref="B98:E98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L98"/>
  <sheetViews>
    <sheetView zoomScale="79" workbookViewId="0">
      <selection activeCell="L15" sqref="L15"/>
    </sheetView>
  </sheetViews>
  <sheetFormatPr defaultRowHeight="13.5" x14ac:dyDescent="0.25"/>
  <cols>
    <col min="1" max="1" width="8.7265625" style="1"/>
    <col min="2" max="2" width="10.54296875" style="1" bestFit="1" customWidth="1"/>
    <col min="3" max="3" width="11.453125" style="1" bestFit="1" customWidth="1"/>
    <col min="4" max="4" width="14.6328125" style="1" bestFit="1" customWidth="1"/>
    <col min="5" max="5" width="22.6328125" style="1" bestFit="1" customWidth="1"/>
    <col min="6" max="6" width="15.7265625" style="1" bestFit="1" customWidth="1"/>
    <col min="7" max="7" width="14.6328125" style="1" bestFit="1" customWidth="1"/>
    <col min="8" max="8" width="16.453125" style="1" bestFit="1" customWidth="1"/>
    <col min="9" max="9" width="19.453125" style="1" bestFit="1" customWidth="1"/>
    <col min="10" max="10" width="15.7265625" style="1" bestFit="1" customWidth="1"/>
    <col min="11" max="11" width="8.7265625" style="1"/>
    <col min="12" max="12" width="24.08984375" style="1" bestFit="1" customWidth="1"/>
    <col min="13" max="16384" width="8.7265625" style="1"/>
  </cols>
  <sheetData>
    <row r="5" spans="2:12" ht="14" x14ac:dyDescent="0.3">
      <c r="B5" s="1" t="s">
        <v>0</v>
      </c>
      <c r="C5" s="1" t="s">
        <v>1</v>
      </c>
      <c r="D5" s="1" t="s">
        <v>3</v>
      </c>
      <c r="E5" s="1" t="s">
        <v>4</v>
      </c>
      <c r="F5" s="1" t="s">
        <v>7</v>
      </c>
      <c r="G5" s="1" t="s">
        <v>8</v>
      </c>
      <c r="H5" s="1" t="s">
        <v>9</v>
      </c>
      <c r="I5" s="1" t="s">
        <v>11</v>
      </c>
      <c r="J5" s="1" t="s">
        <v>10</v>
      </c>
      <c r="L5" s="20" t="s">
        <v>14</v>
      </c>
    </row>
    <row r="6" spans="2:12" x14ac:dyDescent="0.25">
      <c r="B6" s="11">
        <v>45900</v>
      </c>
      <c r="C6" s="18">
        <f>Table2[[#This Row],[Bike Code]]</f>
        <v>0</v>
      </c>
      <c r="D6" s="18" t="str">
        <f>Table2[[#This Row],[Status]]</f>
        <v>COMPLETED</v>
      </c>
      <c r="E6" s="18" t="str">
        <f>Table2[[#This Row],[Location]]</f>
        <v>JAHI</v>
      </c>
      <c r="F6" s="18">
        <f>Table2[[#This Row],[Aminu Ibrahim]]*$L$6</f>
        <v>0</v>
      </c>
      <c r="G6" s="18">
        <f>Table2[[#This Row],[Bello Saulawa]]*$L$6</f>
        <v>870</v>
      </c>
      <c r="H6" s="18">
        <f>Table2[[#This Row],[Murtala Hassan]]*$L$6</f>
        <v>0</v>
      </c>
      <c r="I6" s="18">
        <f>Table2[[#This Row],[Babangida Monde]]*$L$6</f>
        <v>0</v>
      </c>
      <c r="J6" s="18">
        <f>Table2[[#This Row],[Bello Abdullahi]]*$L$6</f>
        <v>0</v>
      </c>
      <c r="L6" s="19">
        <v>0.3</v>
      </c>
    </row>
    <row r="7" spans="2:12" x14ac:dyDescent="0.25">
      <c r="B7" s="11">
        <f>Table2[[#This Row],[Date]]</f>
        <v>45900</v>
      </c>
      <c r="C7" s="18">
        <f>Table2[[#This Row],[Bike Code]]</f>
        <v>0</v>
      </c>
      <c r="D7" s="18" t="str">
        <f>Table2[[#This Row],[Status]]</f>
        <v>COMPLETED</v>
      </c>
      <c r="E7" s="18" t="str">
        <f>Table2[[#This Row],[Location]]</f>
        <v>Mitama</v>
      </c>
      <c r="F7" s="18">
        <f>Table2[[#This Row],[Aminu Ibrahim]]*$L$6</f>
        <v>0</v>
      </c>
      <c r="G7" s="18">
        <f>Table2[[#This Row],[Bello Saulawa]]*$L$6</f>
        <v>750</v>
      </c>
      <c r="H7" s="18">
        <f>Table2[[#This Row],[Murtala Hassan]]*$L$6</f>
        <v>0</v>
      </c>
      <c r="I7" s="18">
        <f>Table2[[#This Row],[Babangida Monde]]*$L$6</f>
        <v>0</v>
      </c>
      <c r="J7" s="18">
        <f>Table2[[#This Row],[Bello Abdullahi]]*$L$6</f>
        <v>0</v>
      </c>
    </row>
    <row r="8" spans="2:12" x14ac:dyDescent="0.25">
      <c r="B8" s="11">
        <f>Table2[[#This Row],[Date]]</f>
        <v>45900</v>
      </c>
      <c r="C8" s="18">
        <f>Table2[[#This Row],[Bike Code]]</f>
        <v>0</v>
      </c>
      <c r="D8" s="18" t="str">
        <f>Table2[[#This Row],[Status]]</f>
        <v>cOMPLETED</v>
      </c>
      <c r="E8" s="18" t="str">
        <f>Table2[[#This Row],[Location]]</f>
        <v>Mitama</v>
      </c>
      <c r="F8" s="18">
        <f>Table2[[#This Row],[Aminu Ibrahim]]*$L$6</f>
        <v>0</v>
      </c>
      <c r="G8" s="18">
        <f>Table2[[#This Row],[Bello Saulawa]]*$L$6</f>
        <v>750</v>
      </c>
      <c r="H8" s="18">
        <f>Table2[[#This Row],[Murtala Hassan]]*$L$6</f>
        <v>0</v>
      </c>
      <c r="I8" s="18">
        <f>Table2[[#This Row],[Babangida Monde]]*$L$6</f>
        <v>0</v>
      </c>
      <c r="J8" s="18">
        <f>Table2[[#This Row],[Bello Abdullahi]]*$L$6</f>
        <v>0</v>
      </c>
    </row>
    <row r="9" spans="2:12" x14ac:dyDescent="0.25">
      <c r="B9" s="11">
        <f>Table2[[#This Row],[Date]]</f>
        <v>45900</v>
      </c>
      <c r="C9" s="18">
        <f>Table2[[#This Row],[Bike Code]]</f>
        <v>0</v>
      </c>
      <c r="D9" s="18" t="str">
        <f>Table2[[#This Row],[Status]]</f>
        <v>COMPLETED</v>
      </c>
      <c r="E9" s="18" t="str">
        <f>Table2[[#This Row],[Location]]</f>
        <v>Dawaki</v>
      </c>
      <c r="F9" s="18">
        <f>Table2[[#This Row],[Aminu Ibrahim]]*$L$6</f>
        <v>0</v>
      </c>
      <c r="G9" s="18">
        <f>Table2[[#This Row],[Bello Saulawa]]*$L$6</f>
        <v>870</v>
      </c>
      <c r="H9" s="18">
        <f>Table2[[#This Row],[Murtala Hassan]]*$L$6</f>
        <v>0</v>
      </c>
      <c r="I9" s="18">
        <f>Table2[[#This Row],[Babangida Monde]]*$L$6</f>
        <v>0</v>
      </c>
      <c r="J9" s="18">
        <f>Table2[[#This Row],[Bello Abdullahi]]*$L$6</f>
        <v>0</v>
      </c>
    </row>
    <row r="10" spans="2:12" x14ac:dyDescent="0.25">
      <c r="B10" s="11">
        <f>Table2[[#This Row],[Date]]</f>
        <v>45900</v>
      </c>
      <c r="C10" s="18">
        <f>Table2[[#This Row],[Bike Code]]</f>
        <v>0</v>
      </c>
      <c r="D10" s="18" t="str">
        <f>Table2[[#This Row],[Status]]</f>
        <v>COMPLETED</v>
      </c>
      <c r="E10" s="18" t="str">
        <f>Table2[[#This Row],[Location]]</f>
        <v>Jabi</v>
      </c>
      <c r="F10" s="18">
        <f>Table2[[#This Row],[Aminu Ibrahim]]*$L$6</f>
        <v>0</v>
      </c>
      <c r="G10" s="18">
        <f>Table2[[#This Row],[Bello Saulawa]]*$L$6</f>
        <v>750</v>
      </c>
      <c r="H10" s="18">
        <f>Table2[[#This Row],[Murtala Hassan]]*$L$6</f>
        <v>0</v>
      </c>
      <c r="I10" s="18">
        <f>Table2[[#This Row],[Babangida Monde]]*$L$6</f>
        <v>0</v>
      </c>
      <c r="J10" s="18">
        <f>Table2[[#This Row],[Bello Abdullahi]]*$L$6</f>
        <v>0</v>
      </c>
    </row>
    <row r="11" spans="2:12" x14ac:dyDescent="0.25">
      <c r="B11" s="11">
        <f>Table2[[#This Row],[Date]]</f>
        <v>45900</v>
      </c>
      <c r="C11" s="18">
        <f>Table2[[#This Row],[Bike Code]]</f>
        <v>0</v>
      </c>
      <c r="D11" s="18" t="str">
        <f>Table2[[#This Row],[Status]]</f>
        <v>COMPLETED</v>
      </c>
      <c r="E11" s="18" t="str">
        <f>Table2[[#This Row],[Location]]</f>
        <v>Dawaki</v>
      </c>
      <c r="F11" s="18">
        <f>Table2[[#This Row],[Aminu Ibrahim]]*$L$6</f>
        <v>0</v>
      </c>
      <c r="G11" s="18">
        <f>Table2[[#This Row],[Bello Saulawa]]*$L$6</f>
        <v>870</v>
      </c>
      <c r="H11" s="18">
        <f>Table2[[#This Row],[Murtala Hassan]]*$L$6</f>
        <v>0</v>
      </c>
      <c r="I11" s="18">
        <f>Table2[[#This Row],[Babangida Monde]]*$L$6</f>
        <v>0</v>
      </c>
      <c r="J11" s="18">
        <f>Table2[[#This Row],[Bello Abdullahi]]*$L$6</f>
        <v>0</v>
      </c>
    </row>
    <row r="12" spans="2:12" x14ac:dyDescent="0.25">
      <c r="B12" s="11">
        <f>Table2[[#This Row],[Date]]</f>
        <v>45900</v>
      </c>
      <c r="C12" s="18">
        <f>Table2[[#This Row],[Bike Code]]</f>
        <v>0</v>
      </c>
      <c r="D12" s="18" t="str">
        <f>Table2[[#This Row],[Status]]</f>
        <v>COMPLETED</v>
      </c>
      <c r="E12" s="18" t="str">
        <f>Table2[[#This Row],[Location]]</f>
        <v>Wuse2</v>
      </c>
      <c r="F12" s="18">
        <f>Table2[[#This Row],[Aminu Ibrahim]]*$L$6</f>
        <v>0</v>
      </c>
      <c r="G12" s="18">
        <f>Table2[[#This Row],[Bello Saulawa]]*$L$6</f>
        <v>0</v>
      </c>
      <c r="H12" s="18">
        <f>Table2[[#This Row],[Murtala Hassan]]*$L$6</f>
        <v>750</v>
      </c>
      <c r="I12" s="18">
        <f>Table2[[#This Row],[Babangida Monde]]*$L$6</f>
        <v>0</v>
      </c>
      <c r="J12" s="18">
        <f>Table2[[#This Row],[Bello Abdullahi]]*$L$6</f>
        <v>0</v>
      </c>
    </row>
    <row r="13" spans="2:12" x14ac:dyDescent="0.25">
      <c r="B13" s="11">
        <f>Table2[[#This Row],[Date]]</f>
        <v>45900</v>
      </c>
      <c r="C13" s="18">
        <f>Table2[[#This Row],[Bike Code]]</f>
        <v>0</v>
      </c>
      <c r="D13" s="18" t="str">
        <f>Table2[[#This Row],[Status]]</f>
        <v>COMPLETED</v>
      </c>
      <c r="E13" s="18" t="str">
        <f>Table2[[#This Row],[Location]]</f>
        <v>Utako</v>
      </c>
      <c r="F13" s="18">
        <f>Table2[[#This Row],[Aminu Ibrahim]]*$L$6</f>
        <v>0</v>
      </c>
      <c r="G13" s="18">
        <f>Table2[[#This Row],[Bello Saulawa]]*$L$6</f>
        <v>0</v>
      </c>
      <c r="H13" s="18">
        <f>Table2[[#This Row],[Murtala Hassan]]*$L$6</f>
        <v>750</v>
      </c>
      <c r="I13" s="18">
        <f>Table2[[#This Row],[Babangida Monde]]*$L$6</f>
        <v>0</v>
      </c>
      <c r="J13" s="18">
        <f>Table2[[#This Row],[Bello Abdullahi]]*$L$6</f>
        <v>0</v>
      </c>
    </row>
    <row r="14" spans="2:12" x14ac:dyDescent="0.25">
      <c r="B14" s="11">
        <f>Table2[[#This Row],[Date]]</f>
        <v>45900</v>
      </c>
      <c r="C14" s="18">
        <f>Table2[[#This Row],[Bike Code]]</f>
        <v>0</v>
      </c>
      <c r="D14" s="18" t="str">
        <f>Table2[[#This Row],[Status]]</f>
        <v>COMPLETED</v>
      </c>
      <c r="E14" s="18" t="str">
        <f>Table2[[#This Row],[Location]]</f>
        <v>Life camp</v>
      </c>
      <c r="F14" s="18">
        <f>Table2[[#This Row],[Aminu Ibrahim]]*$L$6</f>
        <v>0</v>
      </c>
      <c r="G14" s="18">
        <f>Table2[[#This Row],[Bello Saulawa]]*$L$6</f>
        <v>0</v>
      </c>
      <c r="H14" s="18">
        <f>Table2[[#This Row],[Murtala Hassan]]*$L$6</f>
        <v>660</v>
      </c>
      <c r="I14" s="18">
        <f>Table2[[#This Row],[Babangida Monde]]*$L$6</f>
        <v>0</v>
      </c>
      <c r="J14" s="18">
        <f>Table2[[#This Row],[Bello Abdullahi]]*$L$6</f>
        <v>0</v>
      </c>
    </row>
    <row r="15" spans="2:12" x14ac:dyDescent="0.25">
      <c r="B15" s="11">
        <f>Table2[[#This Row],[Date]]</f>
        <v>45900</v>
      </c>
      <c r="C15" s="18">
        <f>Table2[[#This Row],[Bike Code]]</f>
        <v>0</v>
      </c>
      <c r="D15" s="18" t="str">
        <f>Table2[[#This Row],[Status]]</f>
        <v>COMPLETED</v>
      </c>
      <c r="E15" s="18" t="str">
        <f>Table2[[#This Row],[Location]]</f>
        <v>Kado</v>
      </c>
      <c r="F15" s="18">
        <f>Table2[[#This Row],[Aminu Ibrahim]]*$L$6</f>
        <v>0</v>
      </c>
      <c r="G15" s="18">
        <f>Table2[[#This Row],[Bello Saulawa]]*$L$6</f>
        <v>0</v>
      </c>
      <c r="H15" s="18">
        <f>Table2[[#This Row],[Murtala Hassan]]*$L$6</f>
        <v>510</v>
      </c>
      <c r="I15" s="18">
        <f>Table2[[#This Row],[Babangida Monde]]*$L$6</f>
        <v>0</v>
      </c>
      <c r="J15" s="18">
        <f>Table2[[#This Row],[Bello Abdullahi]]*$L$6</f>
        <v>0</v>
      </c>
    </row>
    <row r="16" spans="2:12" x14ac:dyDescent="0.25">
      <c r="B16" s="11">
        <f>Table2[[#This Row],[Date]]</f>
        <v>45900</v>
      </c>
      <c r="C16" s="18">
        <f>Table2[[#This Row],[Bike Code]]</f>
        <v>0</v>
      </c>
      <c r="D16" s="18" t="str">
        <f>Table2[[#This Row],[Status]]</f>
        <v>COMPLETED</v>
      </c>
      <c r="E16" s="18" t="str">
        <f>Table2[[#This Row],[Location]]</f>
        <v>Wuse2</v>
      </c>
      <c r="F16" s="18">
        <f>Table2[[#This Row],[Aminu Ibrahim]]*$L$6</f>
        <v>0</v>
      </c>
      <c r="G16" s="18">
        <f>Table2[[#This Row],[Bello Saulawa]]*$L$6</f>
        <v>0</v>
      </c>
      <c r="H16" s="18">
        <f>Table2[[#This Row],[Murtala Hassan]]*$L$6</f>
        <v>0</v>
      </c>
      <c r="I16" s="18">
        <f>Table2[[#This Row],[Babangida Monde]]*$L$6</f>
        <v>0</v>
      </c>
      <c r="J16" s="18">
        <f>Table2[[#This Row],[Bello Abdullahi]]*$L$6</f>
        <v>750</v>
      </c>
    </row>
    <row r="17" spans="2:10" x14ac:dyDescent="0.25">
      <c r="B17" s="11">
        <f>Table2[[#This Row],[Date]]</f>
        <v>45900</v>
      </c>
      <c r="C17" s="18">
        <f>Table2[[#This Row],[Bike Code]]</f>
        <v>0</v>
      </c>
      <c r="D17" s="18" t="str">
        <f>Table2[[#This Row],[Status]]</f>
        <v>COMPLETED</v>
      </c>
      <c r="E17" s="18" t="str">
        <f>Table2[[#This Row],[Location]]</f>
        <v>Kado</v>
      </c>
      <c r="F17" s="18">
        <f>Table2[[#This Row],[Aminu Ibrahim]]*$L$6</f>
        <v>0</v>
      </c>
      <c r="G17" s="18">
        <f>Table2[[#This Row],[Bello Saulawa]]*$L$6</f>
        <v>0</v>
      </c>
      <c r="H17" s="18">
        <f>Table2[[#This Row],[Murtala Hassan]]*$L$6</f>
        <v>0</v>
      </c>
      <c r="I17" s="18">
        <f>Table2[[#This Row],[Babangida Monde]]*$L$6</f>
        <v>0</v>
      </c>
      <c r="J17" s="18">
        <f>Table2[[#This Row],[Bello Abdullahi]]*$L$6</f>
        <v>510</v>
      </c>
    </row>
    <row r="18" spans="2:10" x14ac:dyDescent="0.25">
      <c r="B18" s="11">
        <f>Table2[[#This Row],[Date]]</f>
        <v>45900</v>
      </c>
      <c r="C18" s="18">
        <f>Table2[[#This Row],[Bike Code]]</f>
        <v>0</v>
      </c>
      <c r="D18" s="18" t="str">
        <f>Table2[[#This Row],[Status]]</f>
        <v>COMPLETED</v>
      </c>
      <c r="E18" s="18" t="str">
        <f>Table2[[#This Row],[Location]]</f>
        <v>Mitama</v>
      </c>
      <c r="F18" s="18">
        <f>Table2[[#This Row],[Aminu Ibrahim]]*$L$6</f>
        <v>0</v>
      </c>
      <c r="G18" s="18">
        <f>Table2[[#This Row],[Bello Saulawa]]*$L$6</f>
        <v>0</v>
      </c>
      <c r="H18" s="18">
        <f>Table2[[#This Row],[Murtala Hassan]]*$L$6</f>
        <v>0</v>
      </c>
      <c r="I18" s="18">
        <f>Table2[[#This Row],[Babangida Monde]]*$L$6</f>
        <v>0</v>
      </c>
      <c r="J18" s="18">
        <f>Table2[[#This Row],[Bello Abdullahi]]*$L$6</f>
        <v>750</v>
      </c>
    </row>
    <row r="19" spans="2:10" x14ac:dyDescent="0.25">
      <c r="B19" s="11">
        <f>Table2[[#This Row],[Date]]</f>
        <v>45900</v>
      </c>
      <c r="C19" s="18">
        <f>Table2[[#This Row],[Bike Code]]</f>
        <v>0</v>
      </c>
      <c r="D19" s="18" t="str">
        <f>Table2[[#This Row],[Status]]</f>
        <v>COMPLETED</v>
      </c>
      <c r="E19" s="18" t="str">
        <f>Table2[[#This Row],[Location]]</f>
        <v>Wuse2</v>
      </c>
      <c r="F19" s="18">
        <f>Table2[[#This Row],[Aminu Ibrahim]]*$L$6</f>
        <v>0</v>
      </c>
      <c r="G19" s="18">
        <f>Table2[[#This Row],[Bello Saulawa]]*$L$6</f>
        <v>0</v>
      </c>
      <c r="H19" s="18">
        <f>Table2[[#This Row],[Murtala Hassan]]*$L$6</f>
        <v>0</v>
      </c>
      <c r="I19" s="18">
        <f>Table2[[#This Row],[Babangida Monde]]*$L$6</f>
        <v>0</v>
      </c>
      <c r="J19" s="18">
        <f>Table2[[#This Row],[Bello Abdullahi]]*$L$6</f>
        <v>750</v>
      </c>
    </row>
    <row r="20" spans="2:10" x14ac:dyDescent="0.25">
      <c r="B20" s="11">
        <f>Table2[[#This Row],[Date]]</f>
        <v>45901</v>
      </c>
      <c r="C20" s="18">
        <f>Table2[[#This Row],[Bike Code]]</f>
        <v>0</v>
      </c>
      <c r="D20" s="18" t="str">
        <f>Table2[[#This Row],[Status]]</f>
        <v>COMPLETED</v>
      </c>
      <c r="E20" s="18" t="str">
        <f>Table2[[#This Row],[Location]]</f>
        <v>Guzape</v>
      </c>
      <c r="F20" s="18">
        <f>Table2[[#This Row],[Aminu Ibrahim]]*$L$6</f>
        <v>0</v>
      </c>
      <c r="G20" s="18">
        <f>Table2[[#This Row],[Bello Saulawa]]*$L$6</f>
        <v>960</v>
      </c>
      <c r="H20" s="18">
        <f>Table2[[#This Row],[Murtala Hassan]]*$L$6</f>
        <v>0</v>
      </c>
      <c r="I20" s="18">
        <f>Table2[[#This Row],[Babangida Monde]]*$L$6</f>
        <v>0</v>
      </c>
      <c r="J20" s="18">
        <f>Table2[[#This Row],[Bello Abdullahi]]*$L$6</f>
        <v>0</v>
      </c>
    </row>
    <row r="21" spans="2:10" x14ac:dyDescent="0.25">
      <c r="B21" s="11">
        <f>Table2[[#This Row],[Date]]</f>
        <v>45901</v>
      </c>
      <c r="C21" s="18">
        <f>Table2[[#This Row],[Bike Code]]</f>
        <v>0</v>
      </c>
      <c r="D21" s="18" t="str">
        <f>Table2[[#This Row],[Status]]</f>
        <v>COMPLETED</v>
      </c>
      <c r="E21" s="18" t="str">
        <f>Table2[[#This Row],[Location]]</f>
        <v>Jabi</v>
      </c>
      <c r="F21" s="18">
        <f>Table2[[#This Row],[Aminu Ibrahim]]*$L$6</f>
        <v>0</v>
      </c>
      <c r="G21" s="18">
        <f>Table2[[#This Row],[Bello Saulawa]]*$L$6</f>
        <v>750</v>
      </c>
      <c r="H21" s="18">
        <f>Table2[[#This Row],[Murtala Hassan]]*$L$6</f>
        <v>0</v>
      </c>
      <c r="I21" s="18">
        <f>Table2[[#This Row],[Babangida Monde]]*$L$6</f>
        <v>0</v>
      </c>
      <c r="J21" s="18">
        <f>Table2[[#This Row],[Bello Abdullahi]]*$L$6</f>
        <v>0</v>
      </c>
    </row>
    <row r="22" spans="2:10" x14ac:dyDescent="0.25">
      <c r="B22" s="11">
        <f>Table2[[#This Row],[Date]]</f>
        <v>45901</v>
      </c>
      <c r="C22" s="18">
        <f>Table2[[#This Row],[Bike Code]]</f>
        <v>0</v>
      </c>
      <c r="D22" s="18" t="str">
        <f>Table2[[#This Row],[Status]]</f>
        <v>COMPLETED</v>
      </c>
      <c r="E22" s="18" t="str">
        <f>Table2[[#This Row],[Location]]</f>
        <v>CBD</v>
      </c>
      <c r="F22" s="18">
        <f>Table2[[#This Row],[Aminu Ibrahim]]*$L$6</f>
        <v>0</v>
      </c>
      <c r="G22" s="18">
        <f>Table2[[#This Row],[Bello Saulawa]]*$L$6</f>
        <v>810</v>
      </c>
      <c r="H22" s="18">
        <f>Table2[[#This Row],[Murtala Hassan]]*$L$6</f>
        <v>0</v>
      </c>
      <c r="I22" s="18">
        <f>Table2[[#This Row],[Babangida Monde]]*$L$6</f>
        <v>0</v>
      </c>
      <c r="J22" s="18">
        <f>Table2[[#This Row],[Bello Abdullahi]]*$L$6</f>
        <v>0</v>
      </c>
    </row>
    <row r="23" spans="2:10" x14ac:dyDescent="0.25">
      <c r="B23" s="11">
        <f>Table2[[#This Row],[Date]]</f>
        <v>45901</v>
      </c>
      <c r="C23" s="18">
        <f>Table2[[#This Row],[Bike Code]]</f>
        <v>0</v>
      </c>
      <c r="D23" s="18" t="str">
        <f>Table2[[#This Row],[Status]]</f>
        <v>COMPLETED</v>
      </c>
      <c r="E23" s="18" t="str">
        <f>Table2[[#This Row],[Location]]</f>
        <v>Garki</v>
      </c>
      <c r="F23" s="18">
        <f>Table2[[#This Row],[Aminu Ibrahim]]*$L$6</f>
        <v>0</v>
      </c>
      <c r="G23" s="18">
        <f>Table2[[#This Row],[Bello Saulawa]]*$L$6</f>
        <v>900</v>
      </c>
      <c r="H23" s="18">
        <f>Table2[[#This Row],[Murtala Hassan]]*$L$6</f>
        <v>0</v>
      </c>
      <c r="I23" s="18">
        <f>Table2[[#This Row],[Babangida Monde]]*$L$6</f>
        <v>0</v>
      </c>
      <c r="J23" s="18">
        <f>Table2[[#This Row],[Bello Abdullahi]]*$L$6</f>
        <v>0</v>
      </c>
    </row>
    <row r="24" spans="2:10" x14ac:dyDescent="0.25">
      <c r="B24" s="11">
        <f>Table2[[#This Row],[Date]]</f>
        <v>45901</v>
      </c>
      <c r="C24" s="18">
        <f>Table2[[#This Row],[Bike Code]]</f>
        <v>0</v>
      </c>
      <c r="D24" s="18" t="str">
        <f>Table2[[#This Row],[Status]]</f>
        <v>COMPLETED</v>
      </c>
      <c r="E24" s="18" t="str">
        <f>Table2[[#This Row],[Location]]</f>
        <v>Jabi</v>
      </c>
      <c r="F24" s="18">
        <f>Table2[[#This Row],[Aminu Ibrahim]]*$L$6</f>
        <v>0</v>
      </c>
      <c r="G24" s="18">
        <f>Table2[[#This Row],[Bello Saulawa]]*$L$6</f>
        <v>750</v>
      </c>
      <c r="H24" s="18">
        <f>Table2[[#This Row],[Murtala Hassan]]*$L$6</f>
        <v>0</v>
      </c>
      <c r="I24" s="18">
        <f>Table2[[#This Row],[Babangida Monde]]*$L$6</f>
        <v>0</v>
      </c>
      <c r="J24" s="18">
        <f>Table2[[#This Row],[Bello Abdullahi]]*$L$6</f>
        <v>0</v>
      </c>
    </row>
    <row r="25" spans="2:10" x14ac:dyDescent="0.25">
      <c r="B25" s="11">
        <f>Table2[[#This Row],[Date]]</f>
        <v>45901</v>
      </c>
      <c r="C25" s="18">
        <f>Table2[[#This Row],[Bike Code]]</f>
        <v>0</v>
      </c>
      <c r="D25" s="18" t="str">
        <f>Table2[[#This Row],[Status]]</f>
        <v>COMPLETED</v>
      </c>
      <c r="E25" s="18" t="str">
        <f>Table2[[#This Row],[Location]]</f>
        <v>Katampe</v>
      </c>
      <c r="F25" s="18">
        <f>Table2[[#This Row],[Aminu Ibrahim]]*$L$6</f>
        <v>0</v>
      </c>
      <c r="G25" s="18">
        <f>Table2[[#This Row],[Bello Saulawa]]*$L$6</f>
        <v>750</v>
      </c>
      <c r="H25" s="18">
        <f>Table2[[#This Row],[Murtala Hassan]]*$L$6</f>
        <v>0</v>
      </c>
      <c r="I25" s="18">
        <f>Table2[[#This Row],[Babangida Monde]]*$L$6</f>
        <v>0</v>
      </c>
      <c r="J25" s="18">
        <f>Table2[[#This Row],[Bello Abdullahi]]*$L$6</f>
        <v>0</v>
      </c>
    </row>
    <row r="26" spans="2:10" x14ac:dyDescent="0.25">
      <c r="B26" s="11">
        <f>Table2[[#This Row],[Date]]</f>
        <v>45901</v>
      </c>
      <c r="C26" s="18">
        <f>Table2[[#This Row],[Bike Code]]</f>
        <v>0</v>
      </c>
      <c r="D26" s="18" t="str">
        <f>Table2[[#This Row],[Status]]</f>
        <v>COMPLETED</v>
      </c>
      <c r="E26" s="18" t="str">
        <f>Table2[[#This Row],[Location]]</f>
        <v>Wuse2</v>
      </c>
      <c r="F26" s="18">
        <f>Table2[[#This Row],[Aminu Ibrahim]]*$L$6</f>
        <v>0</v>
      </c>
      <c r="G26" s="18">
        <f>Table2[[#This Row],[Bello Saulawa]]*$L$6</f>
        <v>0</v>
      </c>
      <c r="H26" s="18">
        <f>Table2[[#This Row],[Murtala Hassan]]*$L$6</f>
        <v>750</v>
      </c>
      <c r="I26" s="18">
        <f>Table2[[#This Row],[Babangida Monde]]*$L$6</f>
        <v>0</v>
      </c>
      <c r="J26" s="18">
        <f>Table2[[#This Row],[Bello Abdullahi]]*$L$6</f>
        <v>0</v>
      </c>
    </row>
    <row r="27" spans="2:10" x14ac:dyDescent="0.25">
      <c r="B27" s="11">
        <f>Table2[[#This Row],[Date]]</f>
        <v>45901</v>
      </c>
      <c r="C27" s="18">
        <f>Table2[[#This Row],[Bike Code]]</f>
        <v>0</v>
      </c>
      <c r="D27" s="18" t="str">
        <f>Table2[[#This Row],[Status]]</f>
        <v>COMPLETED</v>
      </c>
      <c r="E27" s="18" t="str">
        <f>Table2[[#This Row],[Location]]</f>
        <v>Wuse2</v>
      </c>
      <c r="F27" s="18">
        <f>Table2[[#This Row],[Aminu Ibrahim]]*$L$6</f>
        <v>0</v>
      </c>
      <c r="G27" s="18">
        <f>Table2[[#This Row],[Bello Saulawa]]*$L$6</f>
        <v>0</v>
      </c>
      <c r="H27" s="18">
        <f>Table2[[#This Row],[Murtala Hassan]]*$L$6</f>
        <v>750</v>
      </c>
      <c r="I27" s="18">
        <f>Table2[[#This Row],[Babangida Monde]]*$L$6</f>
        <v>0</v>
      </c>
      <c r="J27" s="18">
        <f>Table2[[#This Row],[Bello Abdullahi]]*$L$6</f>
        <v>0</v>
      </c>
    </row>
    <row r="28" spans="2:10" x14ac:dyDescent="0.25">
      <c r="B28" s="11">
        <f>Table2[[#This Row],[Date]]</f>
        <v>45901</v>
      </c>
      <c r="C28" s="18">
        <f>Table2[[#This Row],[Bike Code]]</f>
        <v>0</v>
      </c>
      <c r="D28" s="18" t="str">
        <f>Table2[[#This Row],[Status]]</f>
        <v>COMPLETED</v>
      </c>
      <c r="E28" s="18" t="str">
        <f>Table2[[#This Row],[Location]]</f>
        <v>Aso drive</v>
      </c>
      <c r="F28" s="18">
        <f>Table2[[#This Row],[Aminu Ibrahim]]*$L$6</f>
        <v>0</v>
      </c>
      <c r="G28" s="18">
        <f>Table2[[#This Row],[Bello Saulawa]]*$L$6</f>
        <v>0</v>
      </c>
      <c r="H28" s="18">
        <f>Table2[[#This Row],[Murtala Hassan]]*$L$6</f>
        <v>810</v>
      </c>
      <c r="I28" s="18">
        <f>Table2[[#This Row],[Babangida Monde]]*$L$6</f>
        <v>0</v>
      </c>
      <c r="J28" s="18">
        <f>Table2[[#This Row],[Bello Abdullahi]]*$L$6</f>
        <v>0</v>
      </c>
    </row>
    <row r="29" spans="2:10" x14ac:dyDescent="0.25">
      <c r="B29" s="11">
        <f>Table2[[#This Row],[Date]]</f>
        <v>45901</v>
      </c>
      <c r="C29" s="18">
        <f>Table2[[#This Row],[Bike Code]]</f>
        <v>0</v>
      </c>
      <c r="D29" s="18" t="str">
        <f>Table2[[#This Row],[Status]]</f>
        <v>COMPLETED</v>
      </c>
      <c r="E29" s="18" t="str">
        <f>Table2[[#This Row],[Location]]</f>
        <v>Gwarimpa</v>
      </c>
      <c r="F29" s="18">
        <f>Table2[[#This Row],[Aminu Ibrahim]]*$L$6</f>
        <v>0</v>
      </c>
      <c r="G29" s="18">
        <f>Table2[[#This Row],[Bello Saulawa]]*$L$6</f>
        <v>0</v>
      </c>
      <c r="H29" s="18">
        <f>Table2[[#This Row],[Murtala Hassan]]*$L$6</f>
        <v>0</v>
      </c>
      <c r="I29" s="18">
        <f>Table2[[#This Row],[Babangida Monde]]*$L$6</f>
        <v>0</v>
      </c>
      <c r="J29" s="18">
        <f>Table2[[#This Row],[Bello Abdullahi]]*$L$6</f>
        <v>810</v>
      </c>
    </row>
    <row r="30" spans="2:10" x14ac:dyDescent="0.25">
      <c r="B30" s="11">
        <f>Table2[[#This Row],[Date]]</f>
        <v>45901</v>
      </c>
      <c r="C30" s="18">
        <f>Table2[[#This Row],[Bike Code]]</f>
        <v>0</v>
      </c>
      <c r="D30" s="18" t="str">
        <f>Table2[[#This Row],[Status]]</f>
        <v>COMPLETED</v>
      </c>
      <c r="E30" s="18" t="str">
        <f>Table2[[#This Row],[Location]]</f>
        <v>Life camp</v>
      </c>
      <c r="F30" s="18">
        <f>Table2[[#This Row],[Aminu Ibrahim]]*$L$6</f>
        <v>0</v>
      </c>
      <c r="G30" s="18">
        <f>Table2[[#This Row],[Bello Saulawa]]*$L$6</f>
        <v>0</v>
      </c>
      <c r="H30" s="18">
        <f>Table2[[#This Row],[Murtala Hassan]]*$L$6</f>
        <v>0</v>
      </c>
      <c r="I30" s="18">
        <f>Table2[[#This Row],[Babangida Monde]]*$L$6</f>
        <v>0</v>
      </c>
      <c r="J30" s="18">
        <f>Table2[[#This Row],[Bello Abdullahi]]*$L$6</f>
        <v>660</v>
      </c>
    </row>
    <row r="31" spans="2:10" x14ac:dyDescent="0.25">
      <c r="B31" s="11">
        <f>Table2[[#This Row],[Date]]</f>
        <v>45901</v>
      </c>
      <c r="C31" s="18">
        <f>Table2[[#This Row],[Bike Code]]</f>
        <v>0</v>
      </c>
      <c r="D31" s="18" t="str">
        <f>Table2[[#This Row],[Status]]</f>
        <v>COMPLETED</v>
      </c>
      <c r="E31" s="18" t="str">
        <f>Table2[[#This Row],[Location]]</f>
        <v>Gwarimpa</v>
      </c>
      <c r="F31" s="18">
        <f>Table2[[#This Row],[Aminu Ibrahim]]*$L$6</f>
        <v>0</v>
      </c>
      <c r="G31" s="18">
        <f>Table2[[#This Row],[Bello Saulawa]]*$L$6</f>
        <v>0</v>
      </c>
      <c r="H31" s="18">
        <f>Table2[[#This Row],[Murtala Hassan]]*$L$6</f>
        <v>0</v>
      </c>
      <c r="I31" s="18">
        <f>Table2[[#This Row],[Babangida Monde]]*$L$6</f>
        <v>0</v>
      </c>
      <c r="J31" s="18">
        <f>Table2[[#This Row],[Bello Abdullahi]]*$L$6</f>
        <v>810</v>
      </c>
    </row>
    <row r="32" spans="2:10" x14ac:dyDescent="0.25">
      <c r="B32" s="11">
        <f>Table2[[#This Row],[Date]]</f>
        <v>45901</v>
      </c>
      <c r="C32" s="18">
        <f>Table2[[#This Row],[Bike Code]]</f>
        <v>0</v>
      </c>
      <c r="D32" s="18" t="str">
        <f>Table2[[#This Row],[Status]]</f>
        <v>COMPLETED</v>
      </c>
      <c r="E32" s="18" t="str">
        <f>Table2[[#This Row],[Location]]</f>
        <v>Life camp</v>
      </c>
      <c r="F32" s="18">
        <f>Table2[[#This Row],[Aminu Ibrahim]]*$L$6</f>
        <v>0</v>
      </c>
      <c r="G32" s="18">
        <f>Table2[[#This Row],[Bello Saulawa]]*$L$6</f>
        <v>0</v>
      </c>
      <c r="H32" s="18">
        <f>Table2[[#This Row],[Murtala Hassan]]*$L$6</f>
        <v>0</v>
      </c>
      <c r="I32" s="18">
        <f>Table2[[#This Row],[Babangida Monde]]*$L$6</f>
        <v>0</v>
      </c>
      <c r="J32" s="18">
        <f>Table2[[#This Row],[Bello Abdullahi]]*$L$6</f>
        <v>660</v>
      </c>
    </row>
    <row r="33" spans="2:10" x14ac:dyDescent="0.25">
      <c r="B33" s="11">
        <f>Table2[[#This Row],[Date]]</f>
        <v>45901</v>
      </c>
      <c r="C33" s="18">
        <f>Table2[[#This Row],[Bike Code]]</f>
        <v>0</v>
      </c>
      <c r="D33" s="18" t="str">
        <f>Table2[[#This Row],[Status]]</f>
        <v>COMPLETED</v>
      </c>
      <c r="E33" s="18" t="str">
        <f>Table2[[#This Row],[Location]]</f>
        <v>mabushi</v>
      </c>
      <c r="F33" s="18">
        <f>Table2[[#This Row],[Aminu Ibrahim]]*$L$6</f>
        <v>0</v>
      </c>
      <c r="G33" s="18">
        <f>Table2[[#This Row],[Bello Saulawa]]*$L$6</f>
        <v>0</v>
      </c>
      <c r="H33" s="18">
        <f>Table2[[#This Row],[Murtala Hassan]]*$L$6</f>
        <v>0</v>
      </c>
      <c r="I33" s="18">
        <f>Table2[[#This Row],[Babangida Monde]]*$L$6</f>
        <v>0</v>
      </c>
      <c r="J33" s="18">
        <f>Table2[[#This Row],[Bello Abdullahi]]*$L$6</f>
        <v>660</v>
      </c>
    </row>
    <row r="34" spans="2:10" x14ac:dyDescent="0.25">
      <c r="B34" s="11">
        <f>Table2[[#This Row],[Date]]</f>
        <v>45901</v>
      </c>
      <c r="C34" s="18">
        <f>Table2[[#This Row],[Bike Code]]</f>
        <v>0</v>
      </c>
      <c r="D34" s="18" t="str">
        <f>Table2[[#This Row],[Status]]</f>
        <v>COMPLETED</v>
      </c>
      <c r="E34" s="18" t="str">
        <f>Table2[[#This Row],[Location]]</f>
        <v>Jahi</v>
      </c>
      <c r="F34" s="18">
        <f>Table2[[#This Row],[Aminu Ibrahim]]*$L$6</f>
        <v>0</v>
      </c>
      <c r="G34" s="18">
        <f>Table2[[#This Row],[Bello Saulawa]]*$L$6</f>
        <v>0</v>
      </c>
      <c r="H34" s="18">
        <f>Table2[[#This Row],[Murtala Hassan]]*$L$6</f>
        <v>0</v>
      </c>
      <c r="I34" s="18">
        <f>Table2[[#This Row],[Babangida Monde]]*$L$6</f>
        <v>0</v>
      </c>
      <c r="J34" s="18">
        <f>Table2[[#This Row],[Bello Abdullahi]]*$L$6</f>
        <v>660</v>
      </c>
    </row>
    <row r="35" spans="2:10" x14ac:dyDescent="0.25">
      <c r="B35" s="11">
        <f>Table2[[#This Row],[Date]]</f>
        <v>45901</v>
      </c>
      <c r="C35" s="18">
        <f>Table2[[#This Row],[Bike Code]]</f>
        <v>0</v>
      </c>
      <c r="D35" s="18" t="str">
        <f>Table2[[#This Row],[Status]]</f>
        <v>COMPLETED</v>
      </c>
      <c r="E35" s="18" t="str">
        <f>Table2[[#This Row],[Location]]</f>
        <v>Wuye</v>
      </c>
      <c r="F35" s="18">
        <f>Table2[[#This Row],[Aminu Ibrahim]]*$L$6</f>
        <v>0</v>
      </c>
      <c r="G35" s="18">
        <f>Table2[[#This Row],[Bello Saulawa]]*$L$6</f>
        <v>660</v>
      </c>
      <c r="H35" s="18">
        <f>Table2[[#This Row],[Murtala Hassan]]*$L$6</f>
        <v>0</v>
      </c>
      <c r="I35" s="18">
        <f>Table2[[#This Row],[Babangida Monde]]*$L$6</f>
        <v>0</v>
      </c>
      <c r="J35" s="18">
        <f>Table2[[#This Row],[Bello Abdullahi]]*$L$6</f>
        <v>0</v>
      </c>
    </row>
    <row r="36" spans="2:10" x14ac:dyDescent="0.25">
      <c r="B36" s="11">
        <f>Table2[[#This Row],[Date]]</f>
        <v>45902</v>
      </c>
      <c r="C36" s="18">
        <f>Table2[[#This Row],[Bike Code]]</f>
        <v>0</v>
      </c>
      <c r="D36" s="18" t="str">
        <f>Table2[[#This Row],[Status]]</f>
        <v>COMPLETED</v>
      </c>
      <c r="E36" s="18" t="str">
        <f>Table2[[#This Row],[Location]]</f>
        <v>Asokoro</v>
      </c>
      <c r="F36" s="18">
        <f>Table2[[#This Row],[Aminu Ibrahim]]*$L$6</f>
        <v>0</v>
      </c>
      <c r="G36" s="18">
        <f>Table2[[#This Row],[Bello Saulawa]]*$L$6</f>
        <v>960</v>
      </c>
      <c r="H36" s="18">
        <f>Table2[[#This Row],[Murtala Hassan]]*$L$6</f>
        <v>0</v>
      </c>
      <c r="I36" s="18">
        <f>Table2[[#This Row],[Babangida Monde]]*$L$6</f>
        <v>0</v>
      </c>
      <c r="J36" s="18">
        <f>Table2[[#This Row],[Bello Abdullahi]]*$L$6</f>
        <v>0</v>
      </c>
    </row>
    <row r="37" spans="2:10" x14ac:dyDescent="0.25">
      <c r="B37" s="11">
        <f>Table2[[#This Row],[Date]]</f>
        <v>45902</v>
      </c>
      <c r="C37" s="18">
        <f>Table2[[#This Row],[Bike Code]]</f>
        <v>0</v>
      </c>
      <c r="D37" s="18" t="str">
        <f>Table2[[#This Row],[Status]]</f>
        <v>COMPLETED</v>
      </c>
      <c r="E37" s="18" t="str">
        <f>Table2[[#This Row],[Location]]</f>
        <v>Life camp</v>
      </c>
      <c r="F37" s="18">
        <f>Table2[[#This Row],[Aminu Ibrahim]]*$L$6</f>
        <v>0</v>
      </c>
      <c r="G37" s="18">
        <f>Table2[[#This Row],[Bello Saulawa]]*$L$6</f>
        <v>0</v>
      </c>
      <c r="H37" s="18">
        <f>Table2[[#This Row],[Murtala Hassan]]*$L$6</f>
        <v>0</v>
      </c>
      <c r="I37" s="18">
        <f>Table2[[#This Row],[Babangida Monde]]*$L$6</f>
        <v>0</v>
      </c>
      <c r="J37" s="18">
        <f>Table2[[#This Row],[Bello Abdullahi]]*$L$6</f>
        <v>660</v>
      </c>
    </row>
    <row r="38" spans="2:10" x14ac:dyDescent="0.25">
      <c r="B38" s="11">
        <f>Table2[[#This Row],[Date]]</f>
        <v>45902</v>
      </c>
      <c r="C38" s="18">
        <f>Table2[[#This Row],[Bike Code]]</f>
        <v>0</v>
      </c>
      <c r="D38" s="18" t="str">
        <f>Table2[[#This Row],[Status]]</f>
        <v>COMPLETED</v>
      </c>
      <c r="E38" s="18" t="str">
        <f>Table2[[#This Row],[Location]]</f>
        <v>Jahi</v>
      </c>
      <c r="F38" s="18">
        <f>Table2[[#This Row],[Aminu Ibrahim]]*$L$6</f>
        <v>0</v>
      </c>
      <c r="G38" s="18">
        <f>Table2[[#This Row],[Bello Saulawa]]*$L$6</f>
        <v>0</v>
      </c>
      <c r="H38" s="18">
        <f>Table2[[#This Row],[Murtala Hassan]]*$L$6</f>
        <v>660</v>
      </c>
      <c r="I38" s="18">
        <f>Table2[[#This Row],[Babangida Monde]]*$L$6</f>
        <v>0</v>
      </c>
      <c r="J38" s="18">
        <f>Table2[[#This Row],[Bello Abdullahi]]*$L$6</f>
        <v>0</v>
      </c>
    </row>
    <row r="39" spans="2:10" x14ac:dyDescent="0.25">
      <c r="B39" s="11">
        <f>Table2[[#This Row],[Date]]</f>
        <v>45902</v>
      </c>
      <c r="C39" s="18">
        <f>Table2[[#This Row],[Bike Code]]</f>
        <v>0</v>
      </c>
      <c r="D39" s="18" t="str">
        <f>Table2[[#This Row],[Status]]</f>
        <v>COMPLETED</v>
      </c>
      <c r="E39" s="18" t="str">
        <f>Table2[[#This Row],[Location]]</f>
        <v>Wuye</v>
      </c>
      <c r="F39" s="18">
        <f>Table2[[#This Row],[Aminu Ibrahim]]*$L$6</f>
        <v>0</v>
      </c>
      <c r="G39" s="18">
        <f>Table2[[#This Row],[Bello Saulawa]]*$L$6</f>
        <v>0</v>
      </c>
      <c r="H39" s="18">
        <f>Table2[[#This Row],[Murtala Hassan]]*$L$6</f>
        <v>750</v>
      </c>
      <c r="I39" s="18">
        <f>Table2[[#This Row],[Babangida Monde]]*$L$6</f>
        <v>0</v>
      </c>
      <c r="J39" s="18">
        <f>Table2[[#This Row],[Bello Abdullahi]]*$L$6</f>
        <v>0</v>
      </c>
    </row>
    <row r="40" spans="2:10" x14ac:dyDescent="0.25">
      <c r="B40" s="11">
        <f>Table2[[#This Row],[Date]]</f>
        <v>45902</v>
      </c>
      <c r="C40" s="18">
        <f>Table2[[#This Row],[Bike Code]]</f>
        <v>0</v>
      </c>
      <c r="D40" s="18" t="str">
        <f>Table2[[#This Row],[Status]]</f>
        <v>COMPLETED</v>
      </c>
      <c r="E40" s="18" t="str">
        <f>Table2[[#This Row],[Location]]</f>
        <v>Jahi</v>
      </c>
      <c r="F40" s="18">
        <f>Table2[[#This Row],[Aminu Ibrahim]]*$L$6</f>
        <v>0</v>
      </c>
      <c r="G40" s="18">
        <f>Table2[[#This Row],[Bello Saulawa]]*$L$6</f>
        <v>0</v>
      </c>
      <c r="H40" s="18">
        <f>Table2[[#This Row],[Murtala Hassan]]*$L$6</f>
        <v>0</v>
      </c>
      <c r="I40" s="18">
        <f>Table2[[#This Row],[Babangida Monde]]*$L$6</f>
        <v>0</v>
      </c>
      <c r="J40" s="18">
        <f>Table2[[#This Row],[Bello Abdullahi]]*$L$6</f>
        <v>660</v>
      </c>
    </row>
    <row r="41" spans="2:10" x14ac:dyDescent="0.25">
      <c r="B41" s="11">
        <f>Table2[[#This Row],[Date]]</f>
        <v>45902</v>
      </c>
      <c r="C41" s="18">
        <f>Table2[[#This Row],[Bike Code]]</f>
        <v>0</v>
      </c>
      <c r="D41" s="18" t="str">
        <f>Table2[[#This Row],[Status]]</f>
        <v>COMPLETED</v>
      </c>
      <c r="E41" s="18" t="str">
        <f>Table2[[#This Row],[Location]]</f>
        <v>CBD</v>
      </c>
      <c r="F41" s="18">
        <f>Table2[[#This Row],[Aminu Ibrahim]]*$L$6</f>
        <v>0</v>
      </c>
      <c r="G41" s="18">
        <f>Table2[[#This Row],[Bello Saulawa]]*$L$6</f>
        <v>810</v>
      </c>
      <c r="H41" s="18">
        <f>Table2[[#This Row],[Murtala Hassan]]*$L$6</f>
        <v>0</v>
      </c>
      <c r="I41" s="18">
        <f>Table2[[#This Row],[Babangida Monde]]*$L$6</f>
        <v>0</v>
      </c>
      <c r="J41" s="18">
        <f>Table2[[#This Row],[Bello Abdullahi]]*$L$6</f>
        <v>0</v>
      </c>
    </row>
    <row r="42" spans="2:10" x14ac:dyDescent="0.25">
      <c r="B42" s="11">
        <f>Table2[[#This Row],[Date]]</f>
        <v>45902</v>
      </c>
      <c r="C42" s="18">
        <f>Table2[[#This Row],[Bike Code]]</f>
        <v>0</v>
      </c>
      <c r="D42" s="18" t="str">
        <f>Table2[[#This Row],[Status]]</f>
        <v>COMPLETED</v>
      </c>
      <c r="E42" s="18" t="str">
        <f>Table2[[#This Row],[Location]]</f>
        <v>Lokogoma</v>
      </c>
      <c r="F42" s="18">
        <f>Table2[[#This Row],[Aminu Ibrahim]]*$L$6</f>
        <v>0</v>
      </c>
      <c r="G42" s="18">
        <f>Table2[[#This Row],[Bello Saulawa]]*$L$6</f>
        <v>1200</v>
      </c>
      <c r="H42" s="18">
        <f>Table2[[#This Row],[Murtala Hassan]]*$L$6</f>
        <v>0</v>
      </c>
      <c r="I42" s="18">
        <f>Table2[[#This Row],[Babangida Monde]]*$L$6</f>
        <v>0</v>
      </c>
      <c r="J42" s="18">
        <f>Table2[[#This Row],[Bello Abdullahi]]*$L$6</f>
        <v>0</v>
      </c>
    </row>
    <row r="43" spans="2:10" x14ac:dyDescent="0.25">
      <c r="B43" s="11">
        <f>Table2[[#This Row],[Date]]</f>
        <v>45902</v>
      </c>
      <c r="C43" s="18">
        <f>Table2[[#This Row],[Bike Code]]</f>
        <v>0</v>
      </c>
      <c r="D43" s="18" t="str">
        <f>Table2[[#This Row],[Status]]</f>
        <v>COMPLETED</v>
      </c>
      <c r="E43" s="18" t="str">
        <f>Table2[[#This Row],[Location]]</f>
        <v>Kado</v>
      </c>
      <c r="F43" s="18">
        <f>Table2[[#This Row],[Aminu Ibrahim]]*$L$6</f>
        <v>0</v>
      </c>
      <c r="G43" s="18">
        <f>Table2[[#This Row],[Bello Saulawa]]*$L$6</f>
        <v>0</v>
      </c>
      <c r="H43" s="18">
        <f>Table2[[#This Row],[Murtala Hassan]]*$L$6</f>
        <v>0</v>
      </c>
      <c r="I43" s="18">
        <f>Table2[[#This Row],[Babangida Monde]]*$L$6</f>
        <v>0</v>
      </c>
      <c r="J43" s="18">
        <f>Table2[[#This Row],[Bello Abdullahi]]*$L$6</f>
        <v>510</v>
      </c>
    </row>
    <row r="44" spans="2:10" x14ac:dyDescent="0.25">
      <c r="B44" s="11">
        <f>Table2[[#This Row],[Date]]</f>
        <v>45902</v>
      </c>
      <c r="C44" s="18">
        <f>Table2[[#This Row],[Bike Code]]</f>
        <v>0</v>
      </c>
      <c r="D44" s="18" t="str">
        <f>Table2[[#This Row],[Status]]</f>
        <v>COMPLETED</v>
      </c>
      <c r="E44" s="18" t="str">
        <f>Table2[[#This Row],[Location]]</f>
        <v>CBD</v>
      </c>
      <c r="F44" s="18">
        <f>Table2[[#This Row],[Aminu Ibrahim]]*$L$6</f>
        <v>0</v>
      </c>
      <c r="G44" s="18">
        <f>Table2[[#This Row],[Bello Saulawa]]*$L$6</f>
        <v>0</v>
      </c>
      <c r="H44" s="18">
        <f>Table2[[#This Row],[Murtala Hassan]]*$L$6</f>
        <v>0</v>
      </c>
      <c r="I44" s="18">
        <f>Table2[[#This Row],[Babangida Monde]]*$L$6</f>
        <v>0</v>
      </c>
      <c r="J44" s="18">
        <f>Table2[[#This Row],[Bello Abdullahi]]*$L$6</f>
        <v>810</v>
      </c>
    </row>
    <row r="45" spans="2:10" x14ac:dyDescent="0.25">
      <c r="B45" s="11">
        <f>Table2[[#This Row],[Date]]</f>
        <v>45902</v>
      </c>
      <c r="C45" s="18">
        <f>Table2[[#This Row],[Bike Code]]</f>
        <v>0</v>
      </c>
      <c r="D45" s="18" t="str">
        <f>Table2[[#This Row],[Status]]</f>
        <v>COMPLETED</v>
      </c>
      <c r="E45" s="18" t="str">
        <f>Table2[[#This Row],[Location]]</f>
        <v>CBD</v>
      </c>
      <c r="F45" s="18">
        <f>Table2[[#This Row],[Aminu Ibrahim]]*$L$6</f>
        <v>0</v>
      </c>
      <c r="G45" s="18">
        <f>Table2[[#This Row],[Bello Saulawa]]*$L$6</f>
        <v>810</v>
      </c>
      <c r="H45" s="18">
        <f>Table2[[#This Row],[Murtala Hassan]]*$L$6</f>
        <v>0</v>
      </c>
      <c r="I45" s="18">
        <f>Table2[[#This Row],[Babangida Monde]]*$L$6</f>
        <v>0</v>
      </c>
      <c r="J45" s="18">
        <f>Table2[[#This Row],[Bello Abdullahi]]*$L$6</f>
        <v>0</v>
      </c>
    </row>
    <row r="46" spans="2:10" x14ac:dyDescent="0.25">
      <c r="B46" s="11">
        <f>Table2[[#This Row],[Date]]</f>
        <v>45902</v>
      </c>
      <c r="C46" s="18">
        <f>Table2[[#This Row],[Bike Code]]</f>
        <v>0</v>
      </c>
      <c r="D46" s="18" t="str">
        <f>Table2[[#This Row],[Status]]</f>
        <v>COMPLETED</v>
      </c>
      <c r="E46" s="18" t="str">
        <f>Table2[[#This Row],[Location]]</f>
        <v>Katampe</v>
      </c>
      <c r="F46" s="18">
        <f>Table2[[#This Row],[Aminu Ibrahim]]*$L$6</f>
        <v>0</v>
      </c>
      <c r="G46" s="18">
        <f>Table2[[#This Row],[Bello Saulawa]]*$L$6</f>
        <v>750</v>
      </c>
      <c r="H46" s="18">
        <f>Table2[[#This Row],[Murtala Hassan]]*$L$6</f>
        <v>0</v>
      </c>
      <c r="I46" s="18">
        <f>Table2[[#This Row],[Babangida Monde]]*$L$6</f>
        <v>0</v>
      </c>
      <c r="J46" s="18">
        <f>Table2[[#This Row],[Bello Abdullahi]]*$L$6</f>
        <v>0</v>
      </c>
    </row>
    <row r="47" spans="2:10" x14ac:dyDescent="0.25">
      <c r="B47" s="11">
        <f>Table2[[#This Row],[Date]]</f>
        <v>45903</v>
      </c>
      <c r="C47" s="18">
        <f>Table2[[#This Row],[Bike Code]]</f>
        <v>0</v>
      </c>
      <c r="D47" s="18" t="str">
        <f>Table2[[#This Row],[Status]]</f>
        <v>COMPLETED</v>
      </c>
      <c r="E47" s="18" t="str">
        <f>Table2[[#This Row],[Location]]</f>
        <v>CBD</v>
      </c>
      <c r="F47" s="18">
        <f>Table2[[#This Row],[Aminu Ibrahim]]*$L$6</f>
        <v>0</v>
      </c>
      <c r="G47" s="18">
        <f>Table2[[#This Row],[Bello Saulawa]]*$L$6</f>
        <v>810</v>
      </c>
      <c r="H47" s="18">
        <f>Table2[[#This Row],[Murtala Hassan]]*$L$6</f>
        <v>0</v>
      </c>
      <c r="I47" s="18">
        <f>Table2[[#This Row],[Babangida Monde]]*$L$6</f>
        <v>0</v>
      </c>
      <c r="J47" s="18">
        <f>Table2[[#This Row],[Bello Abdullahi]]*$L$6</f>
        <v>0</v>
      </c>
    </row>
    <row r="48" spans="2:10" x14ac:dyDescent="0.25">
      <c r="B48" s="11">
        <f>Table2[[#This Row],[Date]]</f>
        <v>45903</v>
      </c>
      <c r="C48" s="18">
        <f>Table2[[#This Row],[Bike Code]]</f>
        <v>0</v>
      </c>
      <c r="D48" s="18" t="str">
        <f>Table2[[#This Row],[Status]]</f>
        <v>COMPLETED</v>
      </c>
      <c r="E48" s="18" t="str">
        <f>Table2[[#This Row],[Location]]</f>
        <v>Garki</v>
      </c>
      <c r="F48" s="18">
        <f>Table2[[#This Row],[Aminu Ibrahim]]*$L$6</f>
        <v>0</v>
      </c>
      <c r="G48" s="18">
        <f>Table2[[#This Row],[Bello Saulawa]]*$L$6</f>
        <v>900</v>
      </c>
      <c r="H48" s="18">
        <f>Table2[[#This Row],[Murtala Hassan]]*$L$6</f>
        <v>0</v>
      </c>
      <c r="I48" s="18">
        <f>Table2[[#This Row],[Babangida Monde]]*$L$6</f>
        <v>0</v>
      </c>
      <c r="J48" s="18">
        <f>Table2[[#This Row],[Bello Abdullahi]]*$L$6</f>
        <v>0</v>
      </c>
    </row>
    <row r="49" spans="2:10" x14ac:dyDescent="0.25">
      <c r="B49" s="11">
        <f>Table2[[#This Row],[Date]]</f>
        <v>45903</v>
      </c>
      <c r="C49" s="18">
        <f>Table2[[#This Row],[Bike Code]]</f>
        <v>0</v>
      </c>
      <c r="D49" s="18" t="str">
        <f>Table2[[#This Row],[Status]]</f>
        <v>COMPLETED</v>
      </c>
      <c r="E49" s="18" t="str">
        <f>Table2[[#This Row],[Location]]</f>
        <v>Jabi</v>
      </c>
      <c r="F49" s="18">
        <f>Table2[[#This Row],[Aminu Ibrahim]]*$L$6</f>
        <v>0</v>
      </c>
      <c r="G49" s="18">
        <f>Table2[[#This Row],[Bello Saulawa]]*$L$6</f>
        <v>0</v>
      </c>
      <c r="H49" s="18">
        <f>Table2[[#This Row],[Murtala Hassan]]*$L$6</f>
        <v>750</v>
      </c>
      <c r="I49" s="18">
        <f>Table2[[#This Row],[Babangida Monde]]*$L$6</f>
        <v>0</v>
      </c>
      <c r="J49" s="18">
        <f>Table2[[#This Row],[Bello Abdullahi]]*$L$6</f>
        <v>0</v>
      </c>
    </row>
    <row r="50" spans="2:10" x14ac:dyDescent="0.25">
      <c r="B50" s="11">
        <f>Table2[[#This Row],[Date]]</f>
        <v>45903</v>
      </c>
      <c r="C50" s="18">
        <f>Table2[[#This Row],[Bike Code]]</f>
        <v>0</v>
      </c>
      <c r="D50" s="18" t="str">
        <f>Table2[[#This Row],[Status]]</f>
        <v>COMPLETED</v>
      </c>
      <c r="E50" s="18" t="str">
        <f>Table2[[#This Row],[Location]]</f>
        <v>Life camp</v>
      </c>
      <c r="F50" s="18">
        <f>Table2[[#This Row],[Aminu Ibrahim]]*$L$6</f>
        <v>0</v>
      </c>
      <c r="G50" s="18">
        <f>Table2[[#This Row],[Bello Saulawa]]*$L$6</f>
        <v>0</v>
      </c>
      <c r="H50" s="18">
        <f>Table2[[#This Row],[Murtala Hassan]]*$L$6</f>
        <v>0</v>
      </c>
      <c r="I50" s="18">
        <f>Table2[[#This Row],[Babangida Monde]]*$L$6</f>
        <v>0</v>
      </c>
      <c r="J50" s="18">
        <f>Table2[[#This Row],[Bello Abdullahi]]*$L$6</f>
        <v>660</v>
      </c>
    </row>
    <row r="51" spans="2:10" x14ac:dyDescent="0.25">
      <c r="B51" s="11">
        <f>Table2[[#This Row],[Date]]</f>
        <v>45903</v>
      </c>
      <c r="C51" s="18">
        <f>Table2[[#This Row],[Bike Code]]</f>
        <v>0</v>
      </c>
      <c r="D51" s="18" t="str">
        <f>Table2[[#This Row],[Status]]</f>
        <v>COMPLETED</v>
      </c>
      <c r="E51" s="18" t="str">
        <f>Table2[[#This Row],[Location]]</f>
        <v>Karsana</v>
      </c>
      <c r="F51" s="18">
        <f>Table2[[#This Row],[Aminu Ibrahim]]*$L$6</f>
        <v>0</v>
      </c>
      <c r="G51" s="18">
        <f>Table2[[#This Row],[Bello Saulawa]]*$L$6</f>
        <v>0</v>
      </c>
      <c r="H51" s="18">
        <f>Table2[[#This Row],[Murtala Hassan]]*$L$6</f>
        <v>0</v>
      </c>
      <c r="I51" s="18">
        <f>Table2[[#This Row],[Babangida Monde]]*$L$6</f>
        <v>0</v>
      </c>
      <c r="J51" s="18">
        <f>Table2[[#This Row],[Bello Abdullahi]]*$L$6</f>
        <v>810</v>
      </c>
    </row>
    <row r="52" spans="2:10" x14ac:dyDescent="0.25">
      <c r="B52" s="11">
        <f>Table2[[#This Row],[Date]]</f>
        <v>45903</v>
      </c>
      <c r="C52" s="18">
        <f>Table2[[#This Row],[Bike Code]]</f>
        <v>0</v>
      </c>
      <c r="D52" s="18" t="str">
        <f>Table2[[#This Row],[Status]]</f>
        <v>COMPLETED</v>
      </c>
      <c r="E52" s="18" t="str">
        <f>Table2[[#This Row],[Location]]</f>
        <v>Garki</v>
      </c>
      <c r="F52" s="18">
        <f>Table2[[#This Row],[Aminu Ibrahim]]*$L$6</f>
        <v>0</v>
      </c>
      <c r="G52" s="18">
        <f>Table2[[#This Row],[Bello Saulawa]]*$L$6</f>
        <v>900</v>
      </c>
      <c r="H52" s="18">
        <f>Table2[[#This Row],[Murtala Hassan]]*$L$6</f>
        <v>0</v>
      </c>
      <c r="I52" s="18">
        <f>Table2[[#This Row],[Babangida Monde]]*$L$6</f>
        <v>0</v>
      </c>
      <c r="J52" s="18">
        <f>Table2[[#This Row],[Bello Abdullahi]]*$L$6</f>
        <v>0</v>
      </c>
    </row>
    <row r="53" spans="2:10" x14ac:dyDescent="0.25">
      <c r="B53" s="11">
        <f>Table2[[#This Row],[Date]]</f>
        <v>45903</v>
      </c>
      <c r="C53" s="18">
        <f>Table2[[#This Row],[Bike Code]]</f>
        <v>0</v>
      </c>
      <c r="D53" s="18" t="str">
        <f>Table2[[#This Row],[Status]]</f>
        <v>COMPLETED</v>
      </c>
      <c r="E53" s="18" t="str">
        <f>Table2[[#This Row],[Location]]</f>
        <v>Appo legislative qtrs</v>
      </c>
      <c r="F53" s="18">
        <f>Table2[[#This Row],[Aminu Ibrahim]]*$L$6</f>
        <v>0</v>
      </c>
      <c r="G53" s="18">
        <f>Table2[[#This Row],[Bello Saulawa]]*$L$6</f>
        <v>900</v>
      </c>
      <c r="H53" s="18">
        <f>Table2[[#This Row],[Murtala Hassan]]*$L$6</f>
        <v>0</v>
      </c>
      <c r="I53" s="18">
        <f>Table2[[#This Row],[Babangida Monde]]*$L$6</f>
        <v>0</v>
      </c>
      <c r="J53" s="18">
        <f>Table2[[#This Row],[Bello Abdullahi]]*$L$6</f>
        <v>0</v>
      </c>
    </row>
    <row r="54" spans="2:10" x14ac:dyDescent="0.25">
      <c r="B54" s="11">
        <f>Table2[[#This Row],[Date]]</f>
        <v>45904</v>
      </c>
      <c r="C54" s="18">
        <f>Table2[[#This Row],[Bike Code]]</f>
        <v>0</v>
      </c>
      <c r="D54" s="18" t="str">
        <f>Table2[[#This Row],[Status]]</f>
        <v>COMPLETED</v>
      </c>
      <c r="E54" s="18" t="str">
        <f>Table2[[#This Row],[Location]]</f>
        <v>Jabi</v>
      </c>
      <c r="F54" s="18">
        <f>Table2[[#This Row],[Aminu Ibrahim]]*$L$6</f>
        <v>0</v>
      </c>
      <c r="G54" s="18">
        <f>Table2[[#This Row],[Bello Saulawa]]*$L$6</f>
        <v>0</v>
      </c>
      <c r="H54" s="18">
        <f>Table2[[#This Row],[Murtala Hassan]]*$L$6</f>
        <v>0</v>
      </c>
      <c r="I54" s="18">
        <f>Table2[[#This Row],[Babangida Monde]]*$L$6</f>
        <v>0</v>
      </c>
      <c r="J54" s="18">
        <f>Table2[[#This Row],[Bello Abdullahi]]*$L$6</f>
        <v>750</v>
      </c>
    </row>
    <row r="55" spans="2:10" x14ac:dyDescent="0.25">
      <c r="B55" s="11">
        <f>Table2[[#This Row],[Date]]</f>
        <v>45904</v>
      </c>
      <c r="C55" s="18">
        <f>Table2[[#This Row],[Bike Code]]</f>
        <v>0</v>
      </c>
      <c r="D55" s="18" t="str">
        <f>Table2[[#This Row],[Status]]</f>
        <v>COMPLETED</v>
      </c>
      <c r="E55" s="18" t="str">
        <f>Table2[[#This Row],[Location]]</f>
        <v>Jahi</v>
      </c>
      <c r="F55" s="18">
        <f>Table2[[#This Row],[Aminu Ibrahim]]*$L$6</f>
        <v>0</v>
      </c>
      <c r="G55" s="18">
        <f>Table2[[#This Row],[Bello Saulawa]]*$L$6</f>
        <v>0</v>
      </c>
      <c r="H55" s="18">
        <f>Table2[[#This Row],[Murtala Hassan]]*$L$6</f>
        <v>0</v>
      </c>
      <c r="I55" s="18">
        <f>Table2[[#This Row],[Babangida Monde]]*$L$6</f>
        <v>0</v>
      </c>
      <c r="J55" s="18">
        <f>Table2[[#This Row],[Bello Abdullahi]]*$L$6</f>
        <v>660</v>
      </c>
    </row>
    <row r="56" spans="2:10" x14ac:dyDescent="0.25">
      <c r="B56" s="11">
        <f>Table2[[#This Row],[Date]]</f>
        <v>45904</v>
      </c>
      <c r="C56" s="18">
        <f>Table2[[#This Row],[Bike Code]]</f>
        <v>0</v>
      </c>
      <c r="D56" s="18" t="str">
        <f>Table2[[#This Row],[Status]]</f>
        <v>COMPLETED</v>
      </c>
      <c r="E56" s="18" t="str">
        <f>Table2[[#This Row],[Location]]</f>
        <v>Guzape</v>
      </c>
      <c r="F56" s="18">
        <f>Table2[[#This Row],[Aminu Ibrahim]]*$L$6</f>
        <v>0</v>
      </c>
      <c r="G56" s="18">
        <f>Table2[[#This Row],[Bello Saulawa]]*$L$6</f>
        <v>0</v>
      </c>
      <c r="H56" s="18">
        <f>Table2[[#This Row],[Murtala Hassan]]*$L$6</f>
        <v>0</v>
      </c>
      <c r="I56" s="18">
        <f>Table2[[#This Row],[Babangida Monde]]*$L$6</f>
        <v>0</v>
      </c>
      <c r="J56" s="18">
        <f>Table2[[#This Row],[Bello Abdullahi]]*$L$6</f>
        <v>960</v>
      </c>
    </row>
    <row r="57" spans="2:10" x14ac:dyDescent="0.25">
      <c r="B57" s="11">
        <f>Table2[[#This Row],[Date]]</f>
        <v>45904</v>
      </c>
      <c r="C57" s="18">
        <f>Table2[[#This Row],[Bike Code]]</f>
        <v>0</v>
      </c>
      <c r="D57" s="18" t="str">
        <f>Table2[[#This Row],[Status]]</f>
        <v>COMPLETED</v>
      </c>
      <c r="E57" s="18" t="str">
        <f>Table2[[#This Row],[Location]]</f>
        <v>Jabi</v>
      </c>
      <c r="F57" s="18">
        <f>Table2[[#This Row],[Aminu Ibrahim]]*$L$6</f>
        <v>0</v>
      </c>
      <c r="G57" s="18">
        <f>Table2[[#This Row],[Bello Saulawa]]*$L$6</f>
        <v>0</v>
      </c>
      <c r="H57" s="18">
        <f>Table2[[#This Row],[Murtala Hassan]]*$L$6</f>
        <v>0</v>
      </c>
      <c r="I57" s="18">
        <f>Table2[[#This Row],[Babangida Monde]]*$L$6</f>
        <v>0</v>
      </c>
      <c r="J57" s="18">
        <f>Table2[[#This Row],[Bello Abdullahi]]*$L$6</f>
        <v>750</v>
      </c>
    </row>
    <row r="58" spans="2:10" x14ac:dyDescent="0.25">
      <c r="B58" s="11">
        <f>Table2[[#This Row],[Date]]</f>
        <v>45904</v>
      </c>
      <c r="C58" s="18">
        <f>Table2[[#This Row],[Bike Code]]</f>
        <v>0</v>
      </c>
      <c r="D58" s="18" t="str">
        <f>Table2[[#This Row],[Status]]</f>
        <v>cOMPLETED</v>
      </c>
      <c r="E58" s="18" t="str">
        <f>Table2[[#This Row],[Location]]</f>
        <v>Gishiri</v>
      </c>
      <c r="F58" s="18">
        <f>Table2[[#This Row],[Aminu Ibrahim]]*$L$6</f>
        <v>0</v>
      </c>
      <c r="G58" s="18">
        <f>Table2[[#This Row],[Bello Saulawa]]*$L$6</f>
        <v>0</v>
      </c>
      <c r="H58" s="18">
        <f>Table2[[#This Row],[Murtala Hassan]]*$L$6</f>
        <v>0</v>
      </c>
      <c r="I58" s="18">
        <f>Table2[[#This Row],[Babangida Monde]]*$L$6</f>
        <v>0</v>
      </c>
      <c r="J58" s="18">
        <f>Table2[[#This Row],[Bello Abdullahi]]*$L$6</f>
        <v>750</v>
      </c>
    </row>
    <row r="59" spans="2:10" x14ac:dyDescent="0.25">
      <c r="B59" s="11">
        <f>Table2[[#This Row],[Date]]</f>
        <v>45904</v>
      </c>
      <c r="C59" s="18">
        <f>Table2[[#This Row],[Bike Code]]</f>
        <v>0</v>
      </c>
      <c r="D59" s="18" t="str">
        <f>Table2[[#This Row],[Status]]</f>
        <v>COMPLETED</v>
      </c>
      <c r="E59" s="18" t="str">
        <f>Table2[[#This Row],[Location]]</f>
        <v>Wuse6</v>
      </c>
      <c r="F59" s="18">
        <f>Table2[[#This Row],[Aminu Ibrahim]]*$L$6</f>
        <v>0</v>
      </c>
      <c r="G59" s="18">
        <f>Table2[[#This Row],[Bello Saulawa]]*$L$6</f>
        <v>0</v>
      </c>
      <c r="H59" s="18">
        <f>Table2[[#This Row],[Murtala Hassan]]*$L$6</f>
        <v>750</v>
      </c>
      <c r="I59" s="18">
        <f>Table2[[#This Row],[Babangida Monde]]*$L$6</f>
        <v>0</v>
      </c>
      <c r="J59" s="18">
        <f>Table2[[#This Row],[Bello Abdullahi]]*$L$6</f>
        <v>0</v>
      </c>
    </row>
    <row r="60" spans="2:10" x14ac:dyDescent="0.25">
      <c r="B60" s="11">
        <f>Table2[[#This Row],[Date]]</f>
        <v>45904</v>
      </c>
      <c r="C60" s="18">
        <f>Table2[[#This Row],[Bike Code]]</f>
        <v>0</v>
      </c>
      <c r="D60" s="18" t="str">
        <f>Table2[[#This Row],[Status]]</f>
        <v>COMPLETED</v>
      </c>
      <c r="E60" s="18" t="str">
        <f>Table2[[#This Row],[Location]]</f>
        <v>wuse zone 6</v>
      </c>
      <c r="F60" s="18">
        <f>Table2[[#This Row],[Aminu Ibrahim]]*$L$6</f>
        <v>0</v>
      </c>
      <c r="G60" s="18">
        <f>Table2[[#This Row],[Bello Saulawa]]*$L$6</f>
        <v>0</v>
      </c>
      <c r="H60" s="18">
        <f>Table2[[#This Row],[Murtala Hassan]]*$L$6</f>
        <v>750</v>
      </c>
      <c r="I60" s="18">
        <f>Table2[[#This Row],[Babangida Monde]]*$L$6</f>
        <v>0</v>
      </c>
      <c r="J60" s="18">
        <f>Table2[[#This Row],[Bello Abdullahi]]*$L$6</f>
        <v>0</v>
      </c>
    </row>
    <row r="61" spans="2:10" x14ac:dyDescent="0.25">
      <c r="B61" s="11">
        <f>Table2[[#This Row],[Date]]</f>
        <v>45904</v>
      </c>
      <c r="C61" s="18">
        <f>Table2[[#This Row],[Bike Code]]</f>
        <v>0</v>
      </c>
      <c r="D61" s="18" t="str">
        <f>Table2[[#This Row],[Status]]</f>
        <v>COMPLETED</v>
      </c>
      <c r="E61" s="18" t="str">
        <f>Table2[[#This Row],[Location]]</f>
        <v>Wuse2</v>
      </c>
      <c r="F61" s="18">
        <f>Table2[[#This Row],[Aminu Ibrahim]]*$L$6</f>
        <v>0</v>
      </c>
      <c r="G61" s="18">
        <f>Table2[[#This Row],[Bello Saulawa]]*$L$6</f>
        <v>0</v>
      </c>
      <c r="H61" s="18">
        <f>Table2[[#This Row],[Murtala Hassan]]*$L$6</f>
        <v>750</v>
      </c>
      <c r="I61" s="18">
        <f>Table2[[#This Row],[Babangida Monde]]*$L$6</f>
        <v>0</v>
      </c>
      <c r="J61" s="18">
        <f>Table2[[#This Row],[Bello Abdullahi]]*$L$6</f>
        <v>0</v>
      </c>
    </row>
    <row r="62" spans="2:10" x14ac:dyDescent="0.25">
      <c r="B62" s="11">
        <f>Table2[[#This Row],[Date]]</f>
        <v>45904</v>
      </c>
      <c r="C62" s="18">
        <f>Table2[[#This Row],[Bike Code]]</f>
        <v>0</v>
      </c>
      <c r="D62" s="18" t="str">
        <f>Table2[[#This Row],[Status]]</f>
        <v>COMPLETED</v>
      </c>
      <c r="E62" s="18" t="str">
        <f>Table2[[#This Row],[Location]]</f>
        <v>Jahi</v>
      </c>
      <c r="F62" s="18">
        <f>Table2[[#This Row],[Aminu Ibrahim]]*$L$6</f>
        <v>0</v>
      </c>
      <c r="G62" s="18">
        <f>Table2[[#This Row],[Bello Saulawa]]*$L$6</f>
        <v>0</v>
      </c>
      <c r="H62" s="18">
        <f>Table2[[#This Row],[Murtala Hassan]]*$L$6</f>
        <v>660</v>
      </c>
      <c r="I62" s="18">
        <f>Table2[[#This Row],[Babangida Monde]]*$L$6</f>
        <v>0</v>
      </c>
      <c r="J62" s="18">
        <f>Table2[[#This Row],[Bello Abdullahi]]*$L$6</f>
        <v>0</v>
      </c>
    </row>
    <row r="63" spans="2:10" x14ac:dyDescent="0.25">
      <c r="B63" s="11">
        <f>Table2[[#This Row],[Date]]</f>
        <v>45904</v>
      </c>
      <c r="C63" s="18">
        <f>Table2[[#This Row],[Bike Code]]</f>
        <v>0</v>
      </c>
      <c r="D63" s="18" t="str">
        <f>Table2[[#This Row],[Status]]</f>
        <v>COMPLETED</v>
      </c>
      <c r="E63" s="18" t="str">
        <f>Table2[[#This Row],[Location]]</f>
        <v>Life camp</v>
      </c>
      <c r="F63" s="18">
        <f>Table2[[#This Row],[Aminu Ibrahim]]*$L$6</f>
        <v>0</v>
      </c>
      <c r="G63" s="18">
        <f>Table2[[#This Row],[Bello Saulawa]]*$L$6</f>
        <v>660</v>
      </c>
      <c r="H63" s="18">
        <f>Table2[[#This Row],[Murtala Hassan]]*$L$6</f>
        <v>0</v>
      </c>
      <c r="I63" s="18">
        <f>Table2[[#This Row],[Babangida Monde]]*$L$6</f>
        <v>0</v>
      </c>
      <c r="J63" s="18">
        <f>Table2[[#This Row],[Bello Abdullahi]]*$L$6</f>
        <v>0</v>
      </c>
    </row>
    <row r="64" spans="2:10" x14ac:dyDescent="0.25">
      <c r="B64" s="11">
        <f>Table2[[#This Row],[Date]]</f>
        <v>45904</v>
      </c>
      <c r="C64" s="18">
        <f>Table2[[#This Row],[Bike Code]]</f>
        <v>0</v>
      </c>
      <c r="D64" s="18" t="str">
        <f>Table2[[#This Row],[Status]]</f>
        <v>COMPLETED</v>
      </c>
      <c r="E64" s="18" t="str">
        <f>Table2[[#This Row],[Location]]</f>
        <v>Garki2</v>
      </c>
      <c r="F64" s="18">
        <f>Table2[[#This Row],[Aminu Ibrahim]]*$L$6</f>
        <v>0</v>
      </c>
      <c r="G64" s="18">
        <f>Table2[[#This Row],[Bello Saulawa]]*$L$6</f>
        <v>900</v>
      </c>
      <c r="H64" s="18">
        <f>Table2[[#This Row],[Murtala Hassan]]*$L$6</f>
        <v>0</v>
      </c>
      <c r="I64" s="18">
        <f>Table2[[#This Row],[Babangida Monde]]*$L$6</f>
        <v>0</v>
      </c>
      <c r="J64" s="18">
        <f>Table2[[#This Row],[Bello Abdullahi]]*$L$6</f>
        <v>0</v>
      </c>
    </row>
    <row r="65" spans="2:10" x14ac:dyDescent="0.25">
      <c r="B65" s="11">
        <f>Table2[[#This Row],[Date]]</f>
        <v>45904</v>
      </c>
      <c r="C65" s="18">
        <f>Table2[[#This Row],[Bike Code]]</f>
        <v>0</v>
      </c>
      <c r="D65" s="18" t="str">
        <f>Table2[[#This Row],[Status]]</f>
        <v>COMPLETED</v>
      </c>
      <c r="E65" s="18" t="str">
        <f>Table2[[#This Row],[Location]]</f>
        <v>Garki2</v>
      </c>
      <c r="F65" s="18">
        <f>Table2[[#This Row],[Aminu Ibrahim]]*$L$6</f>
        <v>0</v>
      </c>
      <c r="G65" s="18">
        <f>Table2[[#This Row],[Bello Saulawa]]*$L$6</f>
        <v>900</v>
      </c>
      <c r="H65" s="18">
        <f>Table2[[#This Row],[Murtala Hassan]]*$L$6</f>
        <v>0</v>
      </c>
      <c r="I65" s="18">
        <f>Table2[[#This Row],[Babangida Monde]]*$L$6</f>
        <v>0</v>
      </c>
      <c r="J65" s="18">
        <f>Table2[[#This Row],[Bello Abdullahi]]*$L$6</f>
        <v>0</v>
      </c>
    </row>
    <row r="66" spans="2:10" x14ac:dyDescent="0.25">
      <c r="B66" s="11">
        <f>Table2[[#This Row],[Date]]</f>
        <v>45904</v>
      </c>
      <c r="C66" s="18">
        <f>Table2[[#This Row],[Bike Code]]</f>
        <v>0</v>
      </c>
      <c r="D66" s="18" t="str">
        <f>Table2[[#This Row],[Status]]</f>
        <v>COMPLETED</v>
      </c>
      <c r="E66" s="18" t="str">
        <f>Table2[[#This Row],[Location]]</f>
        <v>mabushi</v>
      </c>
      <c r="F66" s="18">
        <f>Table2[[#This Row],[Aminu Ibrahim]]*$L$6</f>
        <v>0</v>
      </c>
      <c r="G66" s="18">
        <f>Table2[[#This Row],[Bello Saulawa]]*$L$6</f>
        <v>0</v>
      </c>
      <c r="H66" s="18">
        <f>Table2[[#This Row],[Murtala Hassan]]*$L$6</f>
        <v>660</v>
      </c>
      <c r="I66" s="18">
        <f>Table2[[#This Row],[Babangida Monde]]*$L$6</f>
        <v>0</v>
      </c>
      <c r="J66" s="18">
        <f>Table2[[#This Row],[Bello Abdullahi]]*$L$6</f>
        <v>0</v>
      </c>
    </row>
    <row r="67" spans="2:10" x14ac:dyDescent="0.25">
      <c r="B67" s="11">
        <f>Table2[[#This Row],[Date]]</f>
        <v>45904</v>
      </c>
      <c r="C67" s="18">
        <f>Table2[[#This Row],[Bike Code]]</f>
        <v>0</v>
      </c>
      <c r="D67" s="18" t="str">
        <f>Table2[[#This Row],[Status]]</f>
        <v>COMPLETED</v>
      </c>
      <c r="E67" s="18" t="str">
        <f>Table2[[#This Row],[Location]]</f>
        <v>Maitama</v>
      </c>
      <c r="F67" s="18">
        <f>Table2[[#This Row],[Aminu Ibrahim]]*$L$6</f>
        <v>0</v>
      </c>
      <c r="G67" s="18">
        <f>Table2[[#This Row],[Bello Saulawa]]*$L$6</f>
        <v>0</v>
      </c>
      <c r="H67" s="18">
        <f>Table2[[#This Row],[Murtala Hassan]]*$L$6</f>
        <v>750</v>
      </c>
      <c r="I67" s="18">
        <f>Table2[[#This Row],[Babangida Monde]]*$L$6</f>
        <v>0</v>
      </c>
      <c r="J67" s="18">
        <f>Table2[[#This Row],[Bello Abdullahi]]*$L$6</f>
        <v>0</v>
      </c>
    </row>
    <row r="68" spans="2:10" x14ac:dyDescent="0.25">
      <c r="B68" s="11">
        <f>Table2[[#This Row],[Date]]</f>
        <v>45904</v>
      </c>
      <c r="C68" s="18">
        <f>Table2[[#This Row],[Bike Code]]</f>
        <v>0</v>
      </c>
      <c r="D68" s="18" t="str">
        <f>Table2[[#This Row],[Status]]</f>
        <v>COMPLETED</v>
      </c>
      <c r="E68" s="18" t="str">
        <f>Table2[[#This Row],[Location]]</f>
        <v>Gwarimpa</v>
      </c>
      <c r="F68" s="18">
        <f>Table2[[#This Row],[Aminu Ibrahim]]*$L$6</f>
        <v>0</v>
      </c>
      <c r="G68" s="18">
        <f>Table2[[#This Row],[Bello Saulawa]]*$L$6</f>
        <v>0</v>
      </c>
      <c r="H68" s="18">
        <f>Table2[[#This Row],[Murtala Hassan]]*$L$6</f>
        <v>810</v>
      </c>
      <c r="I68" s="18">
        <f>Table2[[#This Row],[Babangida Monde]]*$L$6</f>
        <v>0</v>
      </c>
      <c r="J68" s="18">
        <f>Table2[[#This Row],[Bello Abdullahi]]*$L$6</f>
        <v>0</v>
      </c>
    </row>
    <row r="69" spans="2:10" x14ac:dyDescent="0.25">
      <c r="B69" s="11">
        <f>Table2[[#This Row],[Date]]</f>
        <v>45904</v>
      </c>
      <c r="C69" s="18">
        <f>Table2[[#This Row],[Bike Code]]</f>
        <v>0</v>
      </c>
      <c r="D69" s="18" t="str">
        <f>Table2[[#This Row],[Status]]</f>
        <v>COMPLETED</v>
      </c>
      <c r="E69" s="18" t="str">
        <f>Table2[[#This Row],[Location]]</f>
        <v>CBD</v>
      </c>
      <c r="F69" s="18">
        <f>Table2[[#This Row],[Aminu Ibrahim]]*$L$6</f>
        <v>0</v>
      </c>
      <c r="G69" s="18">
        <f>Table2[[#This Row],[Bello Saulawa]]*$L$6</f>
        <v>0</v>
      </c>
      <c r="H69" s="18">
        <f>Table2[[#This Row],[Murtala Hassan]]*$L$6</f>
        <v>0</v>
      </c>
      <c r="I69" s="18">
        <f>Table2[[#This Row],[Babangida Monde]]*$L$6</f>
        <v>0</v>
      </c>
      <c r="J69" s="18">
        <f>Table2[[#This Row],[Bello Abdullahi]]*$L$6</f>
        <v>810</v>
      </c>
    </row>
    <row r="70" spans="2:10" x14ac:dyDescent="0.25">
      <c r="B70" s="11">
        <f>Table2[[#This Row],[Date]]</f>
        <v>45904</v>
      </c>
      <c r="C70" s="18">
        <f>Table2[[#This Row],[Bike Code]]</f>
        <v>0</v>
      </c>
      <c r="D70" s="18" t="str">
        <f>Table2[[#This Row],[Status]]</f>
        <v>COMPLETED</v>
      </c>
      <c r="E70" s="18" t="str">
        <f>Table2[[#This Row],[Location]]</f>
        <v>wuse zone 5</v>
      </c>
      <c r="F70" s="18">
        <f>Table2[[#This Row],[Aminu Ibrahim]]*$L$6</f>
        <v>0</v>
      </c>
      <c r="G70" s="18">
        <f>Table2[[#This Row],[Bello Saulawa]]*$L$6</f>
        <v>0</v>
      </c>
      <c r="H70" s="18">
        <f>Table2[[#This Row],[Murtala Hassan]]*$L$6</f>
        <v>0</v>
      </c>
      <c r="I70" s="18">
        <f>Table2[[#This Row],[Babangida Monde]]*$L$6</f>
        <v>0</v>
      </c>
      <c r="J70" s="18">
        <f>Table2[[#This Row],[Bello Abdullahi]]*$L$6</f>
        <v>750</v>
      </c>
    </row>
    <row r="71" spans="2:10" x14ac:dyDescent="0.25">
      <c r="B71" s="11">
        <f>Table2[[#This Row],[Date]]</f>
        <v>45904</v>
      </c>
      <c r="C71" s="18">
        <f>Table2[[#This Row],[Bike Code]]</f>
        <v>0</v>
      </c>
      <c r="D71" s="18" t="str">
        <f>Table2[[#This Row],[Status]]</f>
        <v>COMPLETED</v>
      </c>
      <c r="E71" s="18" t="str">
        <f>Table2[[#This Row],[Location]]</f>
        <v>Guzape</v>
      </c>
      <c r="F71" s="18">
        <f>Table2[[#This Row],[Aminu Ibrahim]]*$L$6</f>
        <v>0</v>
      </c>
      <c r="G71" s="18">
        <f>Table2[[#This Row],[Bello Saulawa]]*$L$6</f>
        <v>960</v>
      </c>
      <c r="H71" s="18">
        <f>Table2[[#This Row],[Murtala Hassan]]*$L$6</f>
        <v>0</v>
      </c>
      <c r="I71" s="18">
        <f>Table2[[#This Row],[Babangida Monde]]*$L$6</f>
        <v>0</v>
      </c>
      <c r="J71" s="18">
        <f>Table2[[#This Row],[Bello Abdullahi]]*$L$6</f>
        <v>0</v>
      </c>
    </row>
    <row r="72" spans="2:10" x14ac:dyDescent="0.25">
      <c r="B72" s="11">
        <f>Table2[[#This Row],[Date]]</f>
        <v>45904</v>
      </c>
      <c r="C72" s="18">
        <f>Table2[[#This Row],[Bike Code]]</f>
        <v>0</v>
      </c>
      <c r="D72" s="18" t="str">
        <f>Table2[[#This Row],[Status]]</f>
        <v>COMPLETED</v>
      </c>
      <c r="E72" s="18" t="str">
        <f>Table2[[#This Row],[Location]]</f>
        <v>Life camp</v>
      </c>
      <c r="F72" s="18">
        <f>Table2[[#This Row],[Aminu Ibrahim]]*$L$6</f>
        <v>0</v>
      </c>
      <c r="G72" s="18">
        <f>Table2[[#This Row],[Bello Saulawa]]*$L$6</f>
        <v>660</v>
      </c>
      <c r="H72" s="18">
        <f>Table2[[#This Row],[Murtala Hassan]]*$L$6</f>
        <v>0</v>
      </c>
      <c r="I72" s="18">
        <f>Table2[[#This Row],[Babangida Monde]]*$L$6</f>
        <v>0</v>
      </c>
      <c r="J72" s="18">
        <f>Table2[[#This Row],[Bello Abdullahi]]*$L$6</f>
        <v>0</v>
      </c>
    </row>
    <row r="73" spans="2:10" x14ac:dyDescent="0.25">
      <c r="B73" s="11">
        <f>Table2[[#This Row],[Date]]</f>
        <v>45904</v>
      </c>
      <c r="C73" s="18">
        <f>Table2[[#This Row],[Bike Code]]</f>
        <v>0</v>
      </c>
      <c r="D73" s="18" t="str">
        <f>Table2[[#This Row],[Status]]</f>
        <v>COMPLETED</v>
      </c>
      <c r="E73" s="18" t="str">
        <f>Table2[[#This Row],[Location]]</f>
        <v>Life camp</v>
      </c>
      <c r="F73" s="18">
        <f>Table2[[#This Row],[Aminu Ibrahim]]*$L$6</f>
        <v>0</v>
      </c>
      <c r="G73" s="18">
        <f>Table2[[#This Row],[Bello Saulawa]]*$L$6</f>
        <v>660</v>
      </c>
      <c r="H73" s="18">
        <f>Table2[[#This Row],[Murtala Hassan]]*$L$6</f>
        <v>0</v>
      </c>
      <c r="I73" s="18">
        <f>Table2[[#This Row],[Babangida Monde]]*$L$6</f>
        <v>0</v>
      </c>
      <c r="J73" s="18">
        <f>Table2[[#This Row],[Bello Abdullahi]]*$L$6</f>
        <v>0</v>
      </c>
    </row>
    <row r="74" spans="2:10" x14ac:dyDescent="0.25">
      <c r="B74" s="11">
        <f>Table2[[#This Row],[Date]]</f>
        <v>45904</v>
      </c>
      <c r="C74" s="18">
        <f>Table2[[#This Row],[Bike Code]]</f>
        <v>0</v>
      </c>
      <c r="D74" s="18" t="str">
        <f>Table2[[#This Row],[Status]]</f>
        <v>COMPLETED</v>
      </c>
      <c r="E74" s="18" t="str">
        <f>Table2[[#This Row],[Location]]</f>
        <v>Gwarimpa</v>
      </c>
      <c r="F74" s="18">
        <f>Table2[[#This Row],[Aminu Ibrahim]]*$L$6</f>
        <v>0</v>
      </c>
      <c r="G74" s="18">
        <f>Table2[[#This Row],[Bello Saulawa]]*$L$6</f>
        <v>810</v>
      </c>
      <c r="H74" s="18">
        <f>Table2[[#This Row],[Murtala Hassan]]*$L$6</f>
        <v>0</v>
      </c>
      <c r="I74" s="18">
        <f>Table2[[#This Row],[Babangida Monde]]*$L$6</f>
        <v>0</v>
      </c>
      <c r="J74" s="18">
        <f>Table2[[#This Row],[Bello Abdullahi]]*$L$6</f>
        <v>0</v>
      </c>
    </row>
    <row r="75" spans="2:10" x14ac:dyDescent="0.25">
      <c r="B75" s="11">
        <f>Table2[[#This Row],[Date]]</f>
        <v>45904</v>
      </c>
      <c r="C75" s="18">
        <f>Table2[[#This Row],[Bike Code]]</f>
        <v>0</v>
      </c>
      <c r="D75" s="18" t="str">
        <f>Table2[[#This Row],[Status]]</f>
        <v>COMPLETED</v>
      </c>
      <c r="E75" s="18" t="str">
        <f>Table2[[#This Row],[Location]]</f>
        <v>Kado</v>
      </c>
      <c r="F75" s="18">
        <f>Table2[[#This Row],[Aminu Ibrahim]]*$L$6</f>
        <v>0</v>
      </c>
      <c r="G75" s="18">
        <f>Table2[[#This Row],[Bello Saulawa]]*$L$6</f>
        <v>0</v>
      </c>
      <c r="H75" s="18">
        <f>Table2[[#This Row],[Murtala Hassan]]*$L$6</f>
        <v>0</v>
      </c>
      <c r="I75" s="18">
        <f>Table2[[#This Row],[Babangida Monde]]*$L$6</f>
        <v>0</v>
      </c>
      <c r="J75" s="18">
        <f>Table2[[#This Row],[Bello Abdullahi]]*$L$6</f>
        <v>510</v>
      </c>
    </row>
    <row r="76" spans="2:10" x14ac:dyDescent="0.25">
      <c r="B76" s="11">
        <f>Table2[[#This Row],[Date]]</f>
        <v>45905</v>
      </c>
      <c r="C76" s="18">
        <f>Table2[[#This Row],[Bike Code]]</f>
        <v>0</v>
      </c>
      <c r="D76" s="18" t="str">
        <f>Table2[[#This Row],[Status]]</f>
        <v>COMPLETED</v>
      </c>
      <c r="E76" s="18" t="str">
        <f>Table2[[#This Row],[Location]]</f>
        <v>Gwarimpa</v>
      </c>
      <c r="F76" s="18">
        <f>Table2[[#This Row],[Aminu Ibrahim]]*$L$6</f>
        <v>0</v>
      </c>
      <c r="G76" s="18">
        <f>Table2[[#This Row],[Bello Saulawa]]*$L$6</f>
        <v>0</v>
      </c>
      <c r="H76" s="18">
        <f>Table2[[#This Row],[Murtala Hassan]]*$L$6</f>
        <v>810</v>
      </c>
      <c r="I76" s="18">
        <f>Table2[[#This Row],[Babangida Monde]]*$L$6</f>
        <v>0</v>
      </c>
      <c r="J76" s="18">
        <f>Table2[[#This Row],[Bello Abdullahi]]*$L$6</f>
        <v>0</v>
      </c>
    </row>
    <row r="77" spans="2:10" x14ac:dyDescent="0.25">
      <c r="B77" s="11">
        <f>Table2[[#This Row],[Date]]</f>
        <v>45905</v>
      </c>
      <c r="C77" s="18">
        <f>Table2[[#This Row],[Bike Code]]</f>
        <v>0</v>
      </c>
      <c r="D77" s="18" t="str">
        <f>Table2[[#This Row],[Status]]</f>
        <v>COMPLETED</v>
      </c>
      <c r="E77" s="18" t="str">
        <f>Table2[[#This Row],[Location]]</f>
        <v>Gwarimpa</v>
      </c>
      <c r="F77" s="18">
        <f>Table2[[#This Row],[Aminu Ibrahim]]*$L$6</f>
        <v>0</v>
      </c>
      <c r="G77" s="18">
        <f>Table2[[#This Row],[Bello Saulawa]]*$L$6</f>
        <v>0</v>
      </c>
      <c r="H77" s="18">
        <f>Table2[[#This Row],[Murtala Hassan]]*$L$6</f>
        <v>810</v>
      </c>
      <c r="I77" s="18">
        <f>Table2[[#This Row],[Babangida Monde]]*$L$6</f>
        <v>0</v>
      </c>
      <c r="J77" s="18">
        <f>Table2[[#This Row],[Bello Abdullahi]]*$L$6</f>
        <v>0</v>
      </c>
    </row>
    <row r="78" spans="2:10" x14ac:dyDescent="0.25">
      <c r="B78" s="11">
        <f>Table2[[#This Row],[Date]]</f>
        <v>45905</v>
      </c>
      <c r="C78" s="18">
        <f>Table2[[#This Row],[Bike Code]]</f>
        <v>0</v>
      </c>
      <c r="D78" s="18" t="str">
        <f>Table2[[#This Row],[Status]]</f>
        <v>COMPLETED</v>
      </c>
      <c r="E78" s="18" t="str">
        <f>Table2[[#This Row],[Location]]</f>
        <v>Katempe Extention</v>
      </c>
      <c r="F78" s="18">
        <f>Table2[[#This Row],[Aminu Ibrahim]]*$L$6</f>
        <v>0</v>
      </c>
      <c r="G78" s="18">
        <f>Table2[[#This Row],[Bello Saulawa]]*$L$6</f>
        <v>0</v>
      </c>
      <c r="H78" s="18">
        <f>Table2[[#This Row],[Murtala Hassan]]*$L$6</f>
        <v>810</v>
      </c>
      <c r="I78" s="18">
        <f>Table2[[#This Row],[Babangida Monde]]*$L$6</f>
        <v>0</v>
      </c>
      <c r="J78" s="18">
        <f>Table2[[#This Row],[Bello Abdullahi]]*$L$6</f>
        <v>0</v>
      </c>
    </row>
    <row r="79" spans="2:10" x14ac:dyDescent="0.25">
      <c r="B79" s="11">
        <f>Table2[[#This Row],[Date]]</f>
        <v>45905</v>
      </c>
      <c r="C79" s="18">
        <f>Table2[[#This Row],[Bike Code]]</f>
        <v>0</v>
      </c>
      <c r="D79" s="18" t="str">
        <f>Table2[[#This Row],[Status]]</f>
        <v>COMPLETED</v>
      </c>
      <c r="E79" s="18" t="str">
        <f>Table2[[#This Row],[Location]]</f>
        <v>Apo</v>
      </c>
      <c r="F79" s="18">
        <f>Table2[[#This Row],[Aminu Ibrahim]]*$L$6</f>
        <v>0</v>
      </c>
      <c r="G79" s="18">
        <f>Table2[[#This Row],[Bello Saulawa]]*$L$6</f>
        <v>0</v>
      </c>
      <c r="H79" s="18">
        <f>Table2[[#This Row],[Murtala Hassan]]*$L$6</f>
        <v>0</v>
      </c>
      <c r="I79" s="18">
        <f>Table2[[#This Row],[Babangida Monde]]*$L$6</f>
        <v>0</v>
      </c>
      <c r="J79" s="18">
        <f>Table2[[#This Row],[Bello Abdullahi]]*$L$6</f>
        <v>960</v>
      </c>
    </row>
    <row r="80" spans="2:10" x14ac:dyDescent="0.25">
      <c r="B80" s="11">
        <f>Table2[[#This Row],[Date]]</f>
        <v>45905</v>
      </c>
      <c r="C80" s="18">
        <f>Table2[[#This Row],[Bike Code]]</f>
        <v>0</v>
      </c>
      <c r="D80" s="18" t="str">
        <f>Table2[[#This Row],[Status]]</f>
        <v>COMPLETED</v>
      </c>
      <c r="E80" s="18" t="str">
        <f>Table2[[#This Row],[Location]]</f>
        <v>Kado</v>
      </c>
      <c r="F80" s="18">
        <f>Table2[[#This Row],[Aminu Ibrahim]]*$L$6</f>
        <v>0</v>
      </c>
      <c r="G80" s="18">
        <f>Table2[[#This Row],[Bello Saulawa]]*$L$6</f>
        <v>510</v>
      </c>
      <c r="H80" s="18">
        <f>Table2[[#This Row],[Murtala Hassan]]*$L$6</f>
        <v>0</v>
      </c>
      <c r="I80" s="18">
        <f>Table2[[#This Row],[Babangida Monde]]*$L$6</f>
        <v>0</v>
      </c>
      <c r="J80" s="18">
        <f>Table2[[#This Row],[Bello Abdullahi]]*$L$6</f>
        <v>0</v>
      </c>
    </row>
    <row r="81" spans="2:10" x14ac:dyDescent="0.25">
      <c r="B81" s="11">
        <f>Table2[[#This Row],[Date]]</f>
        <v>45905</v>
      </c>
      <c r="C81" s="18">
        <f>Table2[[#This Row],[Bike Code]]</f>
        <v>0</v>
      </c>
      <c r="D81" s="18" t="str">
        <f>Table2[[#This Row],[Status]]</f>
        <v>COMPLETED</v>
      </c>
      <c r="E81" s="18" t="str">
        <f>Table2[[#This Row],[Location]]</f>
        <v>Mbora</v>
      </c>
      <c r="F81" s="18">
        <f>Table2[[#This Row],[Aminu Ibrahim]]*$L$6</f>
        <v>0</v>
      </c>
      <c r="G81" s="18">
        <f>Table2[[#This Row],[Bello Saulawa]]*$L$6</f>
        <v>810</v>
      </c>
      <c r="H81" s="18">
        <f>Table2[[#This Row],[Murtala Hassan]]*$L$6</f>
        <v>0</v>
      </c>
      <c r="I81" s="18">
        <f>Table2[[#This Row],[Babangida Monde]]*$L$6</f>
        <v>0</v>
      </c>
      <c r="J81" s="18">
        <f>Table2[[#This Row],[Bello Abdullahi]]*$L$6</f>
        <v>0</v>
      </c>
    </row>
    <row r="82" spans="2:10" x14ac:dyDescent="0.25">
      <c r="B82" s="11">
        <f>Table2[[#This Row],[Date]]</f>
        <v>45905</v>
      </c>
      <c r="C82" s="18">
        <f>Table2[[#This Row],[Bike Code]]</f>
        <v>0</v>
      </c>
      <c r="D82" s="18" t="str">
        <f>Table2[[#This Row],[Status]]</f>
        <v>COMPLETED</v>
      </c>
      <c r="E82" s="18" t="str">
        <f>Table2[[#This Row],[Location]]</f>
        <v>mabushi</v>
      </c>
      <c r="F82" s="18">
        <f>Table2[[#This Row],[Aminu Ibrahim]]*$L$6</f>
        <v>0</v>
      </c>
      <c r="G82" s="18">
        <f>Table2[[#This Row],[Bello Saulawa]]*$L$6</f>
        <v>660</v>
      </c>
      <c r="H82" s="18">
        <f>Table2[[#This Row],[Murtala Hassan]]*$L$6</f>
        <v>0</v>
      </c>
      <c r="I82" s="18">
        <f>Table2[[#This Row],[Babangida Monde]]*$L$6</f>
        <v>0</v>
      </c>
      <c r="J82" s="18">
        <f>Table2[[#This Row],[Bello Abdullahi]]*$L$6</f>
        <v>0</v>
      </c>
    </row>
    <row r="83" spans="2:10" x14ac:dyDescent="0.25">
      <c r="B83" s="11">
        <f>Table2[[#This Row],[Date]]</f>
        <v>45905</v>
      </c>
      <c r="C83" s="18">
        <f>Table2[[#This Row],[Bike Code]]</f>
        <v>0</v>
      </c>
      <c r="D83" s="18" t="str">
        <f>Table2[[#This Row],[Status]]</f>
        <v>COMPLETED</v>
      </c>
      <c r="E83" s="18" t="str">
        <f>Table2[[#This Row],[Location]]</f>
        <v>Life camp</v>
      </c>
      <c r="F83" s="18">
        <f>Table2[[#This Row],[Aminu Ibrahim]]*$L$6</f>
        <v>0</v>
      </c>
      <c r="G83" s="18">
        <f>Table2[[#This Row],[Bello Saulawa]]*$L$6</f>
        <v>660</v>
      </c>
      <c r="H83" s="18">
        <f>Table2[[#This Row],[Murtala Hassan]]*$L$6</f>
        <v>0</v>
      </c>
      <c r="I83" s="18">
        <f>Table2[[#This Row],[Babangida Monde]]*$L$6</f>
        <v>0</v>
      </c>
      <c r="J83" s="18">
        <f>Table2[[#This Row],[Bello Abdullahi]]*$L$6</f>
        <v>0</v>
      </c>
    </row>
    <row r="84" spans="2:10" x14ac:dyDescent="0.25">
      <c r="B84" s="11">
        <f>Table2[[#This Row],[Date]]</f>
        <v>45905</v>
      </c>
      <c r="C84" s="18">
        <f>Table2[[#This Row],[Bike Code]]</f>
        <v>0</v>
      </c>
      <c r="D84" s="18" t="str">
        <f>Table2[[#This Row],[Status]]</f>
        <v>COMPLETED</v>
      </c>
      <c r="E84" s="18" t="str">
        <f>Table2[[#This Row],[Location]]</f>
        <v>idu</v>
      </c>
      <c r="F84" s="18">
        <f>Table2[[#This Row],[Aminu Ibrahim]]*$L$6</f>
        <v>0</v>
      </c>
      <c r="G84" s="18">
        <f>Table2[[#This Row],[Bello Saulawa]]*$L$6</f>
        <v>960</v>
      </c>
      <c r="H84" s="18">
        <f>Table2[[#This Row],[Murtala Hassan]]*$L$6</f>
        <v>0</v>
      </c>
      <c r="I84" s="18">
        <f>Table2[[#This Row],[Babangida Monde]]*$L$6</f>
        <v>0</v>
      </c>
      <c r="J84" s="18">
        <f>Table2[[#This Row],[Bello Abdullahi]]*$L$6</f>
        <v>0</v>
      </c>
    </row>
    <row r="85" spans="2:10" x14ac:dyDescent="0.25">
      <c r="B85" s="11">
        <f>Table2[[#This Row],[Date]]</f>
        <v>45906</v>
      </c>
      <c r="C85" s="18">
        <f>Table2[[#This Row],[Bike Code]]</f>
        <v>0</v>
      </c>
      <c r="D85" s="18" t="str">
        <f>Table2[[#This Row],[Status]]</f>
        <v>COMPLETED</v>
      </c>
      <c r="E85" s="18" t="str">
        <f>Table2[[#This Row],[Location]]</f>
        <v>jabi</v>
      </c>
      <c r="F85" s="18">
        <f>Table2[[#This Row],[Aminu Ibrahim]]*$L$6</f>
        <v>0</v>
      </c>
      <c r="G85" s="18">
        <f>Table2[[#This Row],[Bello Saulawa]]*$L$6</f>
        <v>750</v>
      </c>
      <c r="H85" s="18">
        <f>Table2[[#This Row],[Murtala Hassan]]*$L$6</f>
        <v>0</v>
      </c>
      <c r="I85" s="18">
        <f>Table2[[#This Row],[Babangida Monde]]*$L$6</f>
        <v>0</v>
      </c>
      <c r="J85" s="18">
        <f>Table2[[#This Row],[Bello Abdullahi]]*$L$6</f>
        <v>0</v>
      </c>
    </row>
    <row r="86" spans="2:10" x14ac:dyDescent="0.25">
      <c r="B86" s="11">
        <f>Table2[[#This Row],[Date]]</f>
        <v>45906</v>
      </c>
      <c r="C86" s="18">
        <f>Table2[[#This Row],[Bike Code]]</f>
        <v>0</v>
      </c>
      <c r="D86" s="18" t="str">
        <f>Table2[[#This Row],[Status]]</f>
        <v>COMPLETED</v>
      </c>
      <c r="E86" s="18" t="str">
        <f>Table2[[#This Row],[Location]]</f>
        <v>Gwarimpa</v>
      </c>
      <c r="F86" s="18">
        <f>Table2[[#This Row],[Aminu Ibrahim]]*$L$6</f>
        <v>0</v>
      </c>
      <c r="G86" s="18">
        <f>Table2[[#This Row],[Bello Saulawa]]*$L$6</f>
        <v>810</v>
      </c>
      <c r="H86" s="18">
        <f>Table2[[#This Row],[Murtala Hassan]]*$L$6</f>
        <v>0</v>
      </c>
      <c r="I86" s="18">
        <f>Table2[[#This Row],[Babangida Monde]]*$L$6</f>
        <v>0</v>
      </c>
      <c r="J86" s="18">
        <f>Table2[[#This Row],[Bello Abdullahi]]*$L$6</f>
        <v>0</v>
      </c>
    </row>
    <row r="87" spans="2:10" x14ac:dyDescent="0.25">
      <c r="B87" s="11">
        <f>Table2[[#This Row],[Date]]</f>
        <v>45906</v>
      </c>
      <c r="C87" s="18">
        <f>Table2[[#This Row],[Bike Code]]</f>
        <v>0</v>
      </c>
      <c r="D87" s="18" t="str">
        <f>Table2[[#This Row],[Status]]</f>
        <v>COMPLETED</v>
      </c>
      <c r="E87" s="18" t="str">
        <f>Table2[[#This Row],[Location]]</f>
        <v>Life camp</v>
      </c>
      <c r="F87" s="18">
        <f>Table2[[#This Row],[Aminu Ibrahim]]*$L$6</f>
        <v>0</v>
      </c>
      <c r="G87" s="18">
        <f>Table2[[#This Row],[Bello Saulawa]]*$L$6</f>
        <v>660</v>
      </c>
      <c r="H87" s="18">
        <f>Table2[[#This Row],[Murtala Hassan]]*$L$6</f>
        <v>0</v>
      </c>
      <c r="I87" s="18">
        <f>Table2[[#This Row],[Babangida Monde]]*$L$6</f>
        <v>0</v>
      </c>
      <c r="J87" s="18">
        <f>Table2[[#This Row],[Bello Abdullahi]]*$L$6</f>
        <v>0</v>
      </c>
    </row>
    <row r="88" spans="2:10" x14ac:dyDescent="0.25">
      <c r="B88" s="11">
        <f>Table2[[#This Row],[Date]]</f>
        <v>45906</v>
      </c>
      <c r="C88" s="18">
        <f>Table2[[#This Row],[Bike Code]]</f>
        <v>0</v>
      </c>
      <c r="D88" s="18" t="str">
        <f>Table2[[#This Row],[Status]]</f>
        <v>COMPLETED</v>
      </c>
      <c r="E88" s="18" t="str">
        <f>Table2[[#This Row],[Location]]</f>
        <v>Kado</v>
      </c>
      <c r="F88" s="18">
        <f>Table2[[#This Row],[Aminu Ibrahim]]*$L$6</f>
        <v>0</v>
      </c>
      <c r="G88" s="18">
        <f>Table2[[#This Row],[Bello Saulawa]]*$L$6</f>
        <v>510</v>
      </c>
      <c r="H88" s="18">
        <f>Table2[[#This Row],[Murtala Hassan]]*$L$6</f>
        <v>0</v>
      </c>
      <c r="I88" s="18">
        <f>Table2[[#This Row],[Babangida Monde]]*$L$6</f>
        <v>0</v>
      </c>
      <c r="J88" s="18">
        <f>Table2[[#This Row],[Bello Abdullahi]]*$L$6</f>
        <v>0</v>
      </c>
    </row>
    <row r="89" spans="2:10" x14ac:dyDescent="0.25">
      <c r="B89" s="11">
        <f>Table2[[#This Row],[Date]]</f>
        <v>45906</v>
      </c>
      <c r="C89" s="18">
        <f>Table2[[#This Row],[Bike Code]]</f>
        <v>0</v>
      </c>
      <c r="D89" s="18" t="str">
        <f>Table2[[#This Row],[Status]]</f>
        <v>COMPLETED</v>
      </c>
      <c r="E89" s="18" t="str">
        <f>Table2[[#This Row],[Location]]</f>
        <v>Apo</v>
      </c>
      <c r="F89" s="18">
        <f>Table2[[#This Row],[Aminu Ibrahim]]*$L$6</f>
        <v>0</v>
      </c>
      <c r="G89" s="18">
        <f>Table2[[#This Row],[Bello Saulawa]]*$L$6</f>
        <v>960</v>
      </c>
      <c r="H89" s="18">
        <f>Table2[[#This Row],[Murtala Hassan]]*$L$6</f>
        <v>0</v>
      </c>
      <c r="I89" s="18">
        <f>Table2[[#This Row],[Babangida Monde]]*$L$6</f>
        <v>0</v>
      </c>
      <c r="J89" s="18">
        <f>Table2[[#This Row],[Bello Abdullahi]]*$L$6</f>
        <v>0</v>
      </c>
    </row>
    <row r="90" spans="2:10" x14ac:dyDescent="0.25">
      <c r="B90" s="11">
        <f>Table2[[#This Row],[Date]]</f>
        <v>45906</v>
      </c>
      <c r="C90" s="18">
        <f>Table2[[#This Row],[Bike Code]]</f>
        <v>0</v>
      </c>
      <c r="D90" s="18" t="str">
        <f>Table2[[#This Row],[Status]]</f>
        <v>COMPLETED</v>
      </c>
      <c r="E90" s="18" t="str">
        <f>Table2[[#This Row],[Location]]</f>
        <v>Garki</v>
      </c>
      <c r="F90" s="18">
        <f>Table2[[#This Row],[Aminu Ibrahim]]*$L$6</f>
        <v>0</v>
      </c>
      <c r="G90" s="18">
        <f>Table2[[#This Row],[Bello Saulawa]]*$L$6</f>
        <v>900</v>
      </c>
      <c r="H90" s="18">
        <f>Table2[[#This Row],[Murtala Hassan]]*$L$6</f>
        <v>0</v>
      </c>
      <c r="I90" s="18">
        <f>Table2[[#This Row],[Babangida Monde]]*$L$6</f>
        <v>0</v>
      </c>
      <c r="J90" s="18">
        <f>Table2[[#This Row],[Bello Abdullahi]]*$L$6</f>
        <v>0</v>
      </c>
    </row>
    <row r="91" spans="2:10" x14ac:dyDescent="0.25">
      <c r="B91" s="11">
        <f>Table2[[#This Row],[Date]]</f>
        <v>45906</v>
      </c>
      <c r="C91" s="18">
        <f>Table2[[#This Row],[Bike Code]]</f>
        <v>0</v>
      </c>
      <c r="D91" s="18" t="str">
        <f>Table2[[#This Row],[Status]]</f>
        <v>COMPLETED</v>
      </c>
      <c r="E91" s="18" t="str">
        <f>Table2[[#This Row],[Location]]</f>
        <v>Games Village</v>
      </c>
      <c r="F91" s="18">
        <f>Table2[[#This Row],[Aminu Ibrahim]]*$L$6</f>
        <v>0</v>
      </c>
      <c r="G91" s="18">
        <f>Table2[[#This Row],[Bello Saulawa]]*$L$6</f>
        <v>870</v>
      </c>
      <c r="H91" s="18">
        <f>Table2[[#This Row],[Murtala Hassan]]*$L$6</f>
        <v>0</v>
      </c>
      <c r="I91" s="18">
        <f>Table2[[#This Row],[Babangida Monde]]*$L$6</f>
        <v>0</v>
      </c>
      <c r="J91" s="18">
        <f>Table2[[#This Row],[Bello Abdullahi]]*$L$6</f>
        <v>0</v>
      </c>
    </row>
    <row r="92" spans="2:10" x14ac:dyDescent="0.25">
      <c r="B92" s="11">
        <f>Table2[[#This Row],[Date]]</f>
        <v>45906</v>
      </c>
      <c r="C92" s="18">
        <f>Table2[[#This Row],[Bike Code]]</f>
        <v>0</v>
      </c>
      <c r="D92" s="18" t="str">
        <f>Table2[[#This Row],[Status]]</f>
        <v>COMPLETED</v>
      </c>
      <c r="E92" s="18" t="str">
        <f>Table2[[#This Row],[Location]]</f>
        <v>Gwarimpa</v>
      </c>
      <c r="F92" s="18">
        <f>Table2[[#This Row],[Aminu Ibrahim]]*$L$6</f>
        <v>0</v>
      </c>
      <c r="G92" s="18">
        <f>Table2[[#This Row],[Bello Saulawa]]*$L$6</f>
        <v>0</v>
      </c>
      <c r="H92" s="18">
        <f>Table2[[#This Row],[Murtala Hassan]]*$L$6</f>
        <v>0</v>
      </c>
      <c r="I92" s="18">
        <f>Table2[[#This Row],[Babangida Monde]]*$L$6</f>
        <v>0</v>
      </c>
      <c r="J92" s="18">
        <f>Table2[[#This Row],[Bello Abdullahi]]*$L$6</f>
        <v>810</v>
      </c>
    </row>
    <row r="93" spans="2:10" x14ac:dyDescent="0.25">
      <c r="B93" s="11">
        <f>Table2[[#This Row],[Date]]</f>
        <v>45906</v>
      </c>
      <c r="C93" s="18">
        <f>Table2[[#This Row],[Bike Code]]</f>
        <v>0</v>
      </c>
      <c r="D93" s="18" t="str">
        <f>Table2[[#This Row],[Status]]</f>
        <v>COMPLETED</v>
      </c>
      <c r="E93" s="18" t="str">
        <f>Table2[[#This Row],[Location]]</f>
        <v>Asokoro</v>
      </c>
      <c r="F93" s="18">
        <f>Table2[[#This Row],[Aminu Ibrahim]]*$L$6</f>
        <v>0</v>
      </c>
      <c r="G93" s="18">
        <f>Table2[[#This Row],[Bello Saulawa]]*$L$6</f>
        <v>0</v>
      </c>
      <c r="H93" s="18">
        <f>Table2[[#This Row],[Murtala Hassan]]*$L$6</f>
        <v>0</v>
      </c>
      <c r="I93" s="18">
        <f>Table2[[#This Row],[Babangida Monde]]*$L$6</f>
        <v>0</v>
      </c>
      <c r="J93" s="18">
        <f>Table2[[#This Row],[Bello Abdullahi]]*$L$6</f>
        <v>960</v>
      </c>
    </row>
    <row r="94" spans="2:10" x14ac:dyDescent="0.25">
      <c r="B94" s="11">
        <f>Table2[[#This Row],[Date]]</f>
        <v>45906</v>
      </c>
      <c r="C94" s="18">
        <f>Table2[[#This Row],[Bike Code]]</f>
        <v>0</v>
      </c>
      <c r="D94" s="18" t="str">
        <f>Table2[[#This Row],[Status]]</f>
        <v>COMPLETED</v>
      </c>
      <c r="E94" s="18" t="str">
        <f>Table2[[#This Row],[Location]]</f>
        <v>Maitama</v>
      </c>
      <c r="F94" s="18">
        <f>Table2[[#This Row],[Aminu Ibrahim]]*$L$6</f>
        <v>0</v>
      </c>
      <c r="G94" s="18">
        <f>Table2[[#This Row],[Bello Saulawa]]*$L$6</f>
        <v>0</v>
      </c>
      <c r="H94" s="18">
        <f>Table2[[#This Row],[Murtala Hassan]]*$L$6</f>
        <v>0</v>
      </c>
      <c r="I94" s="18">
        <f>Table2[[#This Row],[Babangida Monde]]*$L$6</f>
        <v>0</v>
      </c>
      <c r="J94" s="18">
        <f>Table2[[#This Row],[Bello Abdullahi]]*$L$6</f>
        <v>750</v>
      </c>
    </row>
    <row r="95" spans="2:10" x14ac:dyDescent="0.25">
      <c r="B95" s="11">
        <f>Table2[[#This Row],[Date]]</f>
        <v>45906</v>
      </c>
      <c r="C95" s="18">
        <f>Table2[[#This Row],[Bike Code]]</f>
        <v>0</v>
      </c>
      <c r="D95" s="18" t="str">
        <f>Table2[[#This Row],[Status]]</f>
        <v>COMPLETED</v>
      </c>
      <c r="E95" s="18" t="str">
        <f>Table2[[#This Row],[Location]]</f>
        <v>wuse zone 5</v>
      </c>
      <c r="F95" s="18">
        <f>Table2[[#This Row],[Aminu Ibrahim]]*$L$6</f>
        <v>0</v>
      </c>
      <c r="G95" s="18">
        <f>Table2[[#This Row],[Bello Saulawa]]*$L$6</f>
        <v>0</v>
      </c>
      <c r="H95" s="18">
        <f>Table2[[#This Row],[Murtala Hassan]]*$L$6</f>
        <v>0</v>
      </c>
      <c r="I95" s="18">
        <f>Table2[[#This Row],[Babangida Monde]]*$L$6</f>
        <v>0</v>
      </c>
      <c r="J95" s="18">
        <f>Table2[[#This Row],[Bello Abdullahi]]*$L$6</f>
        <v>750</v>
      </c>
    </row>
    <row r="96" spans="2:10" x14ac:dyDescent="0.25">
      <c r="B96" s="11">
        <f>Table2[[#This Row],[Date]]</f>
        <v>45906</v>
      </c>
      <c r="C96" s="18">
        <f>Table2[[#This Row],[Bike Code]]</f>
        <v>0</v>
      </c>
      <c r="D96" s="18" t="str">
        <f>Table2[[#This Row],[Status]]</f>
        <v>COMPLETED</v>
      </c>
      <c r="E96" s="18" t="str">
        <f>Table2[[#This Row],[Location]]</f>
        <v>Utako</v>
      </c>
      <c r="F96" s="18">
        <f>Table2[[#This Row],[Aminu Ibrahim]]*$L$6</f>
        <v>0</v>
      </c>
      <c r="G96" s="18">
        <f>Table2[[#This Row],[Bello Saulawa]]*$L$6</f>
        <v>0</v>
      </c>
      <c r="H96" s="18">
        <f>Table2[[#This Row],[Murtala Hassan]]*$L$6</f>
        <v>0</v>
      </c>
      <c r="I96" s="18">
        <f>Table2[[#This Row],[Babangida Monde]]*$L$6</f>
        <v>0</v>
      </c>
      <c r="J96" s="18">
        <f>Table2[[#This Row],[Bello Abdullahi]]*$L$6</f>
        <v>750</v>
      </c>
    </row>
    <row r="97" spans="2:10" x14ac:dyDescent="0.25">
      <c r="B97" s="11">
        <f>Table2[[#This Row],[Date]]</f>
        <v>0</v>
      </c>
      <c r="C97" s="18">
        <f>Table2[[#This Row],[Bike Code]]</f>
        <v>0</v>
      </c>
      <c r="D97" s="18">
        <f>Table2[[#This Row],[Status]]</f>
        <v>0</v>
      </c>
      <c r="E97" s="18">
        <f>Table2[[#This Row],[Location]]</f>
        <v>0</v>
      </c>
      <c r="F97" s="18">
        <f>Table2[[#This Row],[Aminu Ibrahim]]*$L$6</f>
        <v>0</v>
      </c>
      <c r="G97" s="18">
        <f>Table2[[#This Row],[Bello Saulawa]]*$L$6</f>
        <v>0</v>
      </c>
      <c r="H97" s="18">
        <f>Table2[[#This Row],[Murtala Hassan]]*$L$6</f>
        <v>0</v>
      </c>
      <c r="I97" s="18">
        <f>Table2[[#This Row],[Babangida Monde]]*$L$6</f>
        <v>0</v>
      </c>
      <c r="J97" s="18">
        <f>Table2[[#This Row],[Bello Abdullahi]]*$L$6</f>
        <v>0</v>
      </c>
    </row>
    <row r="98" spans="2:10" ht="15" x14ac:dyDescent="0.3">
      <c r="B98" s="38" t="s">
        <v>15</v>
      </c>
      <c r="C98" s="38"/>
      <c r="D98" s="38"/>
      <c r="E98" s="38"/>
      <c r="F98" s="28">
        <f>SUM(F6:F97)</f>
        <v>0</v>
      </c>
      <c r="G98" s="28">
        <f>SUM(G6:G97)</f>
        <v>33090</v>
      </c>
      <c r="H98" s="28">
        <f>SUM(H6:H97)</f>
        <v>14700</v>
      </c>
      <c r="I98" s="28">
        <f>SUM(I6:I97)</f>
        <v>0</v>
      </c>
      <c r="J98" s="28">
        <f>SUM(J6:J97)</f>
        <v>22050</v>
      </c>
    </row>
  </sheetData>
  <mergeCells count="1">
    <mergeCell ref="B98:E9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 and Loss</vt:lpstr>
      <vt:lpstr>DASHVOLT REVENUE SCHEDULE</vt:lpstr>
      <vt:lpstr>RIDER REVENUE SCHEDULE</vt:lpstr>
      <vt:lpstr>SHARE PER RIDER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Gosta</dc:creator>
  <cp:lastModifiedBy>Aliyu Gosta</cp:lastModifiedBy>
  <dcterms:created xsi:type="dcterms:W3CDTF">2025-08-04T13:49:53Z</dcterms:created>
  <dcterms:modified xsi:type="dcterms:W3CDTF">2025-09-09T00:07:08Z</dcterms:modified>
</cp:coreProperties>
</file>